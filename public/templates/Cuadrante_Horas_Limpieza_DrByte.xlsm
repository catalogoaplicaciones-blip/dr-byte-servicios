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GESTIONESWEBNEW\"/>
    </mc:Choice>
  </mc:AlternateContent>
  <xr:revisionPtr revIDLastSave="0" documentId="13_ncr:1_{F3F0B3DE-8F2A-4008-921E-F69B153DDCAF}" xr6:coauthVersionLast="47" xr6:coauthVersionMax="47" xr10:uidLastSave="{00000000-0000-0000-0000-000000000000}"/>
  <bookViews>
    <workbookView xWindow="-108" yWindow="-108" windowWidth="23256" windowHeight="13896" xr2:uid="{3572A83C-2ABA-4D17-B949-E43A01B193B9}"/>
  </bookViews>
  <sheets>
    <sheet name="Dashboard Horas" sheetId="1" r:id="rId1"/>
    <sheet name="Cuadrante Mensual" sheetId="2" r:id="rId2"/>
    <sheet name="Registro de Turnos" sheetId="3" r:id="rId3"/>
    <sheet name="Plantilla Empleados" sheetId="4" r:id="rId4"/>
  </sheets>
  <definedNames>
    <definedName name="_xlnm.Print_Area" localSheetId="0">'Dashboard Horas'!$A$1:$R$30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1" i="3" l="1"/>
  <c r="J10" i="3"/>
  <c r="J9" i="3"/>
  <c r="J8" i="3"/>
  <c r="J7" i="3"/>
  <c r="J6" i="3"/>
  <c r="J5" i="3"/>
  <c r="J4" i="3"/>
  <c r="J3" i="3"/>
  <c r="J2" i="3"/>
</calcChain>
</file>

<file path=xl/sharedStrings.xml><?xml version="1.0" encoding="utf-8"?>
<sst xmlns="http://schemas.openxmlformats.org/spreadsheetml/2006/main" count="398" uniqueCount="91">
  <si>
    <t>ID OPERARIO</t>
  </si>
  <si>
    <t>NOMBRE COMPLETO</t>
  </si>
  <si>
    <t>CATEGORIA / PUESTO</t>
  </si>
  <si>
    <t>TURNO PREFERENTE</t>
  </si>
  <si>
    <t>CENTRO ASIGNADO</t>
  </si>
  <si>
    <t>TELEFONO</t>
  </si>
  <si>
    <t>HORAS CONVENIO/MES</t>
  </si>
  <si>
    <t>EMP-01</t>
  </si>
  <si>
    <t>Maria Santana Dominguez</t>
  </si>
  <si>
    <t>Limpiadora Especialista</t>
  </si>
  <si>
    <t>Manana (07:00 - 15:00)</t>
  </si>
  <si>
    <t>Sede Central Las Palmas</t>
  </si>
  <si>
    <t>600 11 22 33</t>
  </si>
  <si>
    <t>EMP-02</t>
  </si>
  <si>
    <t>Juan Carlos Betancor</t>
  </si>
  <si>
    <t>Cristalero / Tratamientos</t>
  </si>
  <si>
    <t>Complejo Sanitario Norte</t>
  </si>
  <si>
    <t>600 22 33 44</t>
  </si>
  <si>
    <t>EMP-03</t>
  </si>
  <si>
    <t>Carmen Rosa Hernandez</t>
  </si>
  <si>
    <t>Operaria Limpieza General</t>
  </si>
  <si>
    <t>Tarde (15:00 - 23:00)</t>
  </si>
  <si>
    <t>Parque Comercial Telde</t>
  </si>
  <si>
    <t>600 33 44 55</t>
  </si>
  <si>
    <t>EMP-04</t>
  </si>
  <si>
    <t>Antonio Navarro Ojeda</t>
  </si>
  <si>
    <t>Especialista Maquinaria</t>
  </si>
  <si>
    <t>Noche (23:00 - 07:00)</t>
  </si>
  <si>
    <t>Edificio Corporativo A</t>
  </si>
  <si>
    <t>600 44 55 66</t>
  </si>
  <si>
    <t>EMP-05</t>
  </si>
  <si>
    <t>Patricia Godoy Suarez</t>
  </si>
  <si>
    <t>Limpiadora de Oficinas</t>
  </si>
  <si>
    <t>Centro Empresarial Galdar</t>
  </si>
  <si>
    <t>600 55 66 77</t>
  </si>
  <si>
    <t>EMP-06</t>
  </si>
  <si>
    <t>Francisco Javier Pena</t>
  </si>
  <si>
    <t>Conductor / Servicios Varios</t>
  </si>
  <si>
    <t>Ruta Centros Gran Canaria</t>
  </si>
  <si>
    <t>600 66 77 88</t>
  </si>
  <si>
    <t>EMP-07</t>
  </si>
  <si>
    <t>Laura Morales Quintana</t>
  </si>
  <si>
    <t>600 77 88 99</t>
  </si>
  <si>
    <t>EMP-08</t>
  </si>
  <si>
    <t>David Macias Trujillo</t>
  </si>
  <si>
    <t>Operario Limpieza Fin de Semana</t>
  </si>
  <si>
    <t>Turno Rotativo</t>
  </si>
  <si>
    <t>600 88 99 00</t>
  </si>
  <si>
    <t>ID REGISTRO</t>
  </si>
  <si>
    <t>FECHA</t>
  </si>
  <si>
    <t>NOMBRE OPERARIO</t>
  </si>
  <si>
    <t>TURNO</t>
  </si>
  <si>
    <t>CENTRO DE LIMPIEZA</t>
  </si>
  <si>
    <t>HORA ENTRADA</t>
  </si>
  <si>
    <t>HORA SALIDA</t>
  </si>
  <si>
    <t>DESCANSO (H)</t>
  </si>
  <si>
    <t>HORAS EFECTIVAS</t>
  </si>
  <si>
    <t>ESTADO</t>
  </si>
  <si>
    <t>SRV-0001</t>
  </si>
  <si>
    <t>Completado</t>
  </si>
  <si>
    <t>SRV-0002</t>
  </si>
  <si>
    <t>SRV-0003</t>
  </si>
  <si>
    <t>SRV-0004</t>
  </si>
  <si>
    <t>SRV-0005</t>
  </si>
  <si>
    <t>SRV-0006</t>
  </si>
  <si>
    <t>SRV-0007</t>
  </si>
  <si>
    <t>SRV-0008</t>
  </si>
  <si>
    <t>SRV-0009</t>
  </si>
  <si>
    <t>SRV-0010</t>
  </si>
  <si>
    <t>CUADRANTE DE TURNOS Y HORARIOS DE LIMPIEZA - DR. BYTE</t>
  </si>
  <si>
    <t>FORMULARIO DE ASIGNACION DE TURNO</t>
  </si>
  <si>
    <t>Fecha Servicio:</t>
  </si>
  <si>
    <t>14/09/2026</t>
  </si>
  <si>
    <t>ID Operario:</t>
  </si>
  <si>
    <t>Nombre Operario:</t>
  </si>
  <si>
    <t>Centro Asignado:</t>
  </si>
  <si>
    <t>Turno:</t>
  </si>
  <si>
    <t>Hora Entrada:</t>
  </si>
  <si>
    <t>Hora Salida:</t>
  </si>
  <si>
    <t>Descanso (horas):</t>
  </si>
  <si>
    <t>OPERARIO / DIAS</t>
  </si>
  <si>
    <t>Maria Santana</t>
  </si>
  <si>
    <t>M</t>
  </si>
  <si>
    <t>L</t>
  </si>
  <si>
    <t>T</t>
  </si>
  <si>
    <t>Antonio Navarro</t>
  </si>
  <si>
    <t>N</t>
  </si>
  <si>
    <t>Patricia Godoy</t>
  </si>
  <si>
    <t>Fco. Javier Pena</t>
  </si>
  <si>
    <t>Laura Morales</t>
  </si>
  <si>
    <t>David Macias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</si>
</sst>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00\ &quot;h&quot;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0.5"/>
      <color rgb="FFFFFFFF"/>
      <name val="Segoe UI"/>
      <family val="2"/>
    </font>
    <font>
      <sz val="9.5"/>
      <color theme="1"/>
      <name val="Segoe UI"/>
      <family val="2"/>
    </font>
    <font>
      <b/>
      <sz val="13"/>
      <color rgb="FFFFFFFF"/>
      <name val="Aptos Narrow"/>
      <family val="2"/>
      <scheme val="minor"/>
    </font>
    <font>
      <b/>
      <sz val="9.5"/>
      <color theme="1"/>
      <name val="Aptos Narrow"/>
      <family val="2"/>
      <scheme val="minor"/>
    </font>
    <font>
      <sz val="9.5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8.5"/>
      <color rgb="FF246E2A"/>
      <name val="Aptos Narrow"/>
      <family val="2"/>
      <scheme val="minor"/>
    </font>
    <font>
      <b/>
      <sz val="8.5"/>
      <color rgb="FF808080"/>
      <name val="Aptos Narrow"/>
      <family val="2"/>
      <scheme val="minor"/>
    </font>
    <font>
      <b/>
      <sz val="8.5"/>
      <color rgb="FF0033CC"/>
      <name val="Aptos Narrow"/>
      <family val="2"/>
      <scheme val="minor"/>
    </font>
    <font>
      <b/>
      <sz val="8.5"/>
      <color rgb="FF00008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2120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F43D4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CDEBFF"/>
        <bgColor indexed="64"/>
      </patternFill>
    </fill>
    <fill>
      <patternFill patternType="solid">
        <fgColor rgb="FFE5EBF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7" fillId="5" borderId="0" xfId="0" applyFont="1" applyFill="1" applyProtection="1">
      <protection locked="0"/>
    </xf>
    <xf numFmtId="0" fontId="0" fillId="0" borderId="0" xfId="0" applyProtection="1">
      <protection locked="0"/>
    </xf>
    <xf numFmtId="0" fontId="8" fillId="0" borderId="0" xfId="0" applyFont="1" applyProtection="1">
      <protection locked="0"/>
    </xf>
    <xf numFmtId="0" fontId="9" fillId="7" borderId="0" xfId="0" applyFont="1" applyFill="1" applyAlignment="1" applyProtection="1">
      <alignment horizontal="center"/>
      <protection locked="0"/>
    </xf>
    <xf numFmtId="0" fontId="10" fillId="8" borderId="0" xfId="0" applyFont="1" applyFill="1" applyAlignment="1" applyProtection="1">
      <alignment horizontal="center"/>
      <protection locked="0"/>
    </xf>
    <xf numFmtId="0" fontId="11" fillId="9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 applyProtection="1">
      <alignment horizontal="center"/>
      <protection locked="0"/>
    </xf>
    <xf numFmtId="20" fontId="7" fillId="5" borderId="0" xfId="0" applyNumberFormat="1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20" fontId="0" fillId="0" borderId="0" xfId="0" applyNumberForma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" fillId="6" borderId="0" xfId="0" applyFont="1" applyFill="1" applyProtection="1">
      <protection locked="0"/>
    </xf>
    <xf numFmtId="0" fontId="1" fillId="6" borderId="0" xfId="0" applyFont="1" applyFill="1" applyAlignment="1" applyProtection="1">
      <alignment horizontal="center"/>
      <protection locked="0"/>
    </xf>
    <xf numFmtId="0" fontId="6" fillId="0" borderId="0" xfId="0" applyFont="1" applyProtection="1">
      <protection locked="0"/>
    </xf>
    <xf numFmtId="0" fontId="3" fillId="3" borderId="0" xfId="0" applyFont="1" applyFill="1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0" fontId="3" fillId="2" borderId="0" xfId="0" applyFont="1" applyFill="1" applyAlignment="1" applyProtection="1">
      <alignment horizontal="center"/>
      <protection locked="0"/>
    </xf>
    <xf numFmtId="0" fontId="5" fillId="2" borderId="0" xfId="0" applyFont="1" applyFill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127000</xdr:rowOff>
    </xdr:from>
    <xdr:to>
      <xdr:col>15</xdr:col>
      <xdr:colOff>787400</xdr:colOff>
      <xdr:row>3</xdr:row>
      <xdr:rowOff>137160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322FD3F-D042-0F59-1DE2-7110CC8D2DC6}"/>
            </a:ext>
          </a:extLst>
        </xdr:cNvPr>
        <xdr:cNvSpPr/>
      </xdr:nvSpPr>
      <xdr:spPr>
        <a:xfrm>
          <a:off x="228600" y="127000"/>
          <a:ext cx="12446000" cy="5588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15</xdr:col>
      <xdr:colOff>203200</xdr:colOff>
      <xdr:row>1</xdr:row>
      <xdr:rowOff>7620</xdr:rowOff>
    </xdr:from>
    <xdr:to>
      <xdr:col>15</xdr:col>
      <xdr:colOff>558800</xdr:colOff>
      <xdr:row>2</xdr:row>
      <xdr:rowOff>180340</xdr:rowOff>
    </xdr:to>
    <xdr:pic>
      <xdr:nvPicPr>
        <xdr:cNvPr id="4" name="DrByte_Logo_Cuadrante">
          <a:extLst>
            <a:ext uri="{FF2B5EF4-FFF2-40B4-BE49-F238E27FC236}">
              <a16:creationId xmlns:a16="http://schemas.microsoft.com/office/drawing/2014/main" id="{A4F1DF7A-7C0C-CBD8-DB42-839BA8251A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0400" y="190500"/>
          <a:ext cx="355600" cy="355600"/>
        </a:xfrm>
        <a:prstGeom prst="rect">
          <a:avLst/>
        </a:prstGeom>
        <a:ln w="25400">
          <a:solidFill>
            <a:srgbClr val="00B8FF"/>
          </a:solidFill>
        </a:ln>
      </xdr:spPr>
    </xdr:pic>
    <xdr:clientData/>
  </xdr:twoCellAnchor>
  <xdr:twoCellAnchor>
    <xdr:from>
      <xdr:col>0</xdr:col>
      <xdr:colOff>381000</xdr:colOff>
      <xdr:row>0</xdr:row>
      <xdr:rowOff>177800</xdr:rowOff>
    </xdr:from>
    <xdr:to>
      <xdr:col>5</xdr:col>
      <xdr:colOff>609600</xdr:colOff>
      <xdr:row>2</xdr:row>
      <xdr:rowOff>91440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60306469-9BAC-C412-5C4E-1F829FC50576}"/>
            </a:ext>
          </a:extLst>
        </xdr:cNvPr>
        <xdr:cNvSpPr txBox="1"/>
      </xdr:nvSpPr>
      <xdr:spPr>
        <a:xfrm>
          <a:off x="381000" y="177800"/>
          <a:ext cx="41910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100" b="1">
              <a:solidFill>
                <a:srgbClr val="FFFFFF"/>
              </a:solidFill>
              <a:latin typeface="Segoe UI" panose="020B0502040204020203" pitchFamily="34" charset="0"/>
            </a:rPr>
            <a:t>CUADRANTE &amp; CONTROL HORARIO</a:t>
          </a:r>
        </a:p>
      </xdr:txBody>
    </xdr:sp>
    <xdr:clientData fLocksWithSheet="0"/>
  </xdr:twoCellAnchor>
  <xdr:twoCellAnchor>
    <xdr:from>
      <xdr:col>6</xdr:col>
      <xdr:colOff>325120</xdr:colOff>
      <xdr:row>1</xdr:row>
      <xdr:rowOff>71120</xdr:rowOff>
    </xdr:from>
    <xdr:to>
      <xdr:col>7</xdr:col>
      <xdr:colOff>396240</xdr:colOff>
      <xdr:row>2</xdr:row>
      <xdr:rowOff>167640</xdr:rowOff>
    </xdr:to>
    <xdr:sp macro="FiltrarTurnoManan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81CFA820-3E49-0B94-85C1-63CC543244C6}"/>
            </a:ext>
          </a:extLst>
        </xdr:cNvPr>
        <xdr:cNvSpPr/>
      </xdr:nvSpPr>
      <xdr:spPr>
        <a:xfrm>
          <a:off x="5080000" y="254000"/>
          <a:ext cx="8636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Manana</a:t>
          </a:r>
        </a:p>
      </xdr:txBody>
    </xdr:sp>
    <xdr:clientData fLocksWithSheet="0"/>
  </xdr:twoCellAnchor>
  <xdr:twoCellAnchor>
    <xdr:from>
      <xdr:col>7</xdr:col>
      <xdr:colOff>472440</xdr:colOff>
      <xdr:row>1</xdr:row>
      <xdr:rowOff>71120</xdr:rowOff>
    </xdr:from>
    <xdr:to>
      <xdr:col>8</xdr:col>
      <xdr:colOff>543560</xdr:colOff>
      <xdr:row>2</xdr:row>
      <xdr:rowOff>167640</xdr:rowOff>
    </xdr:to>
    <xdr:sp macro="FiltrarTurnoTard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733B711C-B827-1E86-522C-6B8E619C8622}"/>
            </a:ext>
          </a:extLst>
        </xdr:cNvPr>
        <xdr:cNvSpPr/>
      </xdr:nvSpPr>
      <xdr:spPr>
        <a:xfrm>
          <a:off x="6019800" y="254000"/>
          <a:ext cx="8636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Tarde</a:t>
          </a:r>
        </a:p>
      </xdr:txBody>
    </xdr:sp>
    <xdr:clientData fLocksWithSheet="0"/>
  </xdr:twoCellAnchor>
  <xdr:twoCellAnchor>
    <xdr:from>
      <xdr:col>8</xdr:col>
      <xdr:colOff>619760</xdr:colOff>
      <xdr:row>1</xdr:row>
      <xdr:rowOff>71120</xdr:rowOff>
    </xdr:from>
    <xdr:to>
      <xdr:col>9</xdr:col>
      <xdr:colOff>690880</xdr:colOff>
      <xdr:row>2</xdr:row>
      <xdr:rowOff>167640</xdr:rowOff>
    </xdr:to>
    <xdr:sp macro="FiltrarTurnoNoch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97E6925-8C0C-DC2D-2B6E-9A5FB37FC406}"/>
            </a:ext>
          </a:extLst>
        </xdr:cNvPr>
        <xdr:cNvSpPr/>
      </xdr:nvSpPr>
      <xdr:spPr>
        <a:xfrm>
          <a:off x="6959600" y="254000"/>
          <a:ext cx="8636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Noche</a:t>
          </a:r>
        </a:p>
      </xdr:txBody>
    </xdr:sp>
    <xdr:clientData fLocksWithSheet="0"/>
  </xdr:twoCellAnchor>
  <xdr:twoCellAnchor>
    <xdr:from>
      <xdr:col>9</xdr:col>
      <xdr:colOff>767080</xdr:colOff>
      <xdr:row>1</xdr:row>
      <xdr:rowOff>71120</xdr:rowOff>
    </xdr:from>
    <xdr:to>
      <xdr:col>11</xdr:col>
      <xdr:colOff>45720</xdr:colOff>
      <xdr:row>2</xdr:row>
      <xdr:rowOff>167640</xdr:rowOff>
    </xdr:to>
    <xdr:sp macro="FiltrarTurnoTodos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4D89E2D4-D06C-BBE1-E94C-E9CD02DFDFDF}"/>
            </a:ext>
          </a:extLst>
        </xdr:cNvPr>
        <xdr:cNvSpPr/>
      </xdr:nvSpPr>
      <xdr:spPr>
        <a:xfrm>
          <a:off x="7899400" y="254000"/>
          <a:ext cx="863600" cy="279400"/>
        </a:xfrm>
        <a:prstGeom prst="roundRect">
          <a:avLst/>
        </a:prstGeom>
        <a:solidFill>
          <a:srgbClr val="00F0E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D3B401"/>
              </a:solidFill>
            </a:rPr>
            <a:t>TODOS</a:t>
          </a:r>
        </a:p>
      </xdr:txBody>
    </xdr:sp>
    <xdr:clientData fLocksWithSheet="0"/>
  </xdr:twoCellAnchor>
  <xdr:twoCellAnchor>
    <xdr:from>
      <xdr:col>0</xdr:col>
      <xdr:colOff>228600</xdr:colOff>
      <xdr:row>6</xdr:row>
      <xdr:rowOff>147320</xdr:rowOff>
    </xdr:from>
    <xdr:to>
      <xdr:col>3</xdr:col>
      <xdr:colOff>772160</xdr:colOff>
      <xdr:row>12</xdr:row>
      <xdr:rowOff>129540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51A0E94-ED8A-4A4D-778C-0AD5973F5B25}"/>
            </a:ext>
          </a:extLst>
        </xdr:cNvPr>
        <xdr:cNvSpPr/>
      </xdr:nvSpPr>
      <xdr:spPr>
        <a:xfrm>
          <a:off x="228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0</xdr:col>
      <xdr:colOff>330200</xdr:colOff>
      <xdr:row>7</xdr:row>
      <xdr:rowOff>40640</xdr:rowOff>
    </xdr:from>
    <xdr:to>
      <xdr:col>3</xdr:col>
      <xdr:colOff>619760</xdr:colOff>
      <xdr:row>8</xdr:row>
      <xdr:rowOff>111760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18F288FC-6B5A-95C5-72DA-C7E1F2B828B8}"/>
            </a:ext>
          </a:extLst>
        </xdr:cNvPr>
        <xdr:cNvSpPr txBox="1"/>
      </xdr:nvSpPr>
      <xdr:spPr>
        <a:xfrm>
          <a:off x="330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HORAS EFECTIVAS</a:t>
          </a:r>
        </a:p>
      </xdr:txBody>
    </xdr:sp>
    <xdr:clientData fLocksWithSheet="0"/>
  </xdr:twoCellAnchor>
  <xdr:twoCellAnchor>
    <xdr:from>
      <xdr:col>0</xdr:col>
      <xdr:colOff>330200</xdr:colOff>
      <xdr:row>8</xdr:row>
      <xdr:rowOff>137160</xdr:rowOff>
    </xdr:from>
    <xdr:to>
      <xdr:col>3</xdr:col>
      <xdr:colOff>619760</xdr:colOff>
      <xdr:row>11</xdr:row>
      <xdr:rowOff>121920</xdr:rowOff>
    </xdr:to>
    <xdr:sp macro="" textlink="">
      <xdr:nvSpPr>
        <xdr:cNvPr id="13" name="K1_Horas">
          <a:extLst>
            <a:ext uri="{FF2B5EF4-FFF2-40B4-BE49-F238E27FC236}">
              <a16:creationId xmlns:a16="http://schemas.microsoft.com/office/drawing/2014/main" id="{2427B82A-A857-B77E-4BB9-95891DCFEF8C}"/>
            </a:ext>
          </a:extLst>
        </xdr:cNvPr>
        <xdr:cNvSpPr txBox="1"/>
      </xdr:nvSpPr>
      <xdr:spPr>
        <a:xfrm>
          <a:off x="330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58,5 h</a:t>
          </a:r>
        </a:p>
      </xdr:txBody>
    </xdr:sp>
    <xdr:clientData fLocksWithSheet="0"/>
  </xdr:twoCellAnchor>
  <xdr:twoCellAnchor>
    <xdr:from>
      <xdr:col>4</xdr:col>
      <xdr:colOff>233680</xdr:colOff>
      <xdr:row>6</xdr:row>
      <xdr:rowOff>147320</xdr:rowOff>
    </xdr:from>
    <xdr:to>
      <xdr:col>7</xdr:col>
      <xdr:colOff>777240</xdr:colOff>
      <xdr:row>12</xdr:row>
      <xdr:rowOff>129540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F294DBCE-CD16-A518-7F4B-F64B2FA47A71}"/>
            </a:ext>
          </a:extLst>
        </xdr:cNvPr>
        <xdr:cNvSpPr/>
      </xdr:nvSpPr>
      <xdr:spPr>
        <a:xfrm>
          <a:off x="3403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4</xdr:col>
      <xdr:colOff>335280</xdr:colOff>
      <xdr:row>7</xdr:row>
      <xdr:rowOff>40640</xdr:rowOff>
    </xdr:from>
    <xdr:to>
      <xdr:col>7</xdr:col>
      <xdr:colOff>624840</xdr:colOff>
      <xdr:row>8</xdr:row>
      <xdr:rowOff>111760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AAA701D9-241B-4775-2B33-E3AC90C34823}"/>
            </a:ext>
          </a:extLst>
        </xdr:cNvPr>
        <xdr:cNvSpPr txBox="1"/>
      </xdr:nvSpPr>
      <xdr:spPr>
        <a:xfrm>
          <a:off x="3505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TURNOS REGISTRADOS</a:t>
          </a:r>
        </a:p>
      </xdr:txBody>
    </xdr:sp>
    <xdr:clientData fLocksWithSheet="0"/>
  </xdr:twoCellAnchor>
  <xdr:twoCellAnchor>
    <xdr:from>
      <xdr:col>4</xdr:col>
      <xdr:colOff>335280</xdr:colOff>
      <xdr:row>8</xdr:row>
      <xdr:rowOff>137160</xdr:rowOff>
    </xdr:from>
    <xdr:to>
      <xdr:col>7</xdr:col>
      <xdr:colOff>624840</xdr:colOff>
      <xdr:row>11</xdr:row>
      <xdr:rowOff>121920</xdr:rowOff>
    </xdr:to>
    <xdr:sp macro="" textlink="">
      <xdr:nvSpPr>
        <xdr:cNvPr id="16" name="K2_Servicios">
          <a:extLst>
            <a:ext uri="{FF2B5EF4-FFF2-40B4-BE49-F238E27FC236}">
              <a16:creationId xmlns:a16="http://schemas.microsoft.com/office/drawing/2014/main" id="{7B1CF3C0-BF89-B639-4350-36B594A8790D}"/>
            </a:ext>
          </a:extLst>
        </xdr:cNvPr>
        <xdr:cNvSpPr txBox="1"/>
      </xdr:nvSpPr>
      <xdr:spPr>
        <a:xfrm>
          <a:off x="3505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246E2A"/>
              </a:solidFill>
            </a:rPr>
            <a:t>10 Turnos</a:t>
          </a:r>
        </a:p>
      </xdr:txBody>
    </xdr:sp>
    <xdr:clientData fLocksWithSheet="0"/>
  </xdr:twoCellAnchor>
  <xdr:twoCellAnchor>
    <xdr:from>
      <xdr:col>8</xdr:col>
      <xdr:colOff>238760</xdr:colOff>
      <xdr:row>6</xdr:row>
      <xdr:rowOff>147320</xdr:rowOff>
    </xdr:from>
    <xdr:to>
      <xdr:col>11</xdr:col>
      <xdr:colOff>782320</xdr:colOff>
      <xdr:row>12</xdr:row>
      <xdr:rowOff>129540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F98125AA-CB57-C626-55EF-FD6785CCD984}"/>
            </a:ext>
          </a:extLst>
        </xdr:cNvPr>
        <xdr:cNvSpPr/>
      </xdr:nvSpPr>
      <xdr:spPr>
        <a:xfrm>
          <a:off x="6578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8</xdr:col>
      <xdr:colOff>340360</xdr:colOff>
      <xdr:row>7</xdr:row>
      <xdr:rowOff>40640</xdr:rowOff>
    </xdr:from>
    <xdr:to>
      <xdr:col>11</xdr:col>
      <xdr:colOff>629920</xdr:colOff>
      <xdr:row>8</xdr:row>
      <xdr:rowOff>111760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F32BBA7D-4ECB-CF32-1D21-8ECE2897AA5D}"/>
            </a:ext>
          </a:extLst>
        </xdr:cNvPr>
        <xdr:cNvSpPr txBox="1"/>
      </xdr:nvSpPr>
      <xdr:spPr>
        <a:xfrm>
          <a:off x="6680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OPERARIOS EN PLANTILLA</a:t>
          </a:r>
        </a:p>
      </xdr:txBody>
    </xdr:sp>
    <xdr:clientData fLocksWithSheet="0"/>
  </xdr:twoCellAnchor>
  <xdr:twoCellAnchor>
    <xdr:from>
      <xdr:col>8</xdr:col>
      <xdr:colOff>340360</xdr:colOff>
      <xdr:row>8</xdr:row>
      <xdr:rowOff>137160</xdr:rowOff>
    </xdr:from>
    <xdr:to>
      <xdr:col>11</xdr:col>
      <xdr:colOff>629920</xdr:colOff>
      <xdr:row>11</xdr:row>
      <xdr:rowOff>121920</xdr:rowOff>
    </xdr:to>
    <xdr:sp macro="" textlink="">
      <xdr:nvSpPr>
        <xdr:cNvPr id="19" name="K3_Personal">
          <a:extLst>
            <a:ext uri="{FF2B5EF4-FFF2-40B4-BE49-F238E27FC236}">
              <a16:creationId xmlns:a16="http://schemas.microsoft.com/office/drawing/2014/main" id="{84709619-7A13-2657-F25C-25126ECEEE47}"/>
            </a:ext>
          </a:extLst>
        </xdr:cNvPr>
        <xdr:cNvSpPr txBox="1"/>
      </xdr:nvSpPr>
      <xdr:spPr>
        <a:xfrm>
          <a:off x="6680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F43D4E"/>
              </a:solidFill>
            </a:rPr>
            <a:t>8 Operarios</a:t>
          </a:r>
        </a:p>
      </xdr:txBody>
    </xdr:sp>
    <xdr:clientData fLocksWithSheet="0"/>
  </xdr:twoCellAnchor>
  <xdr:twoCellAnchor>
    <xdr:from>
      <xdr:col>12</xdr:col>
      <xdr:colOff>243840</xdr:colOff>
      <xdr:row>6</xdr:row>
      <xdr:rowOff>147320</xdr:rowOff>
    </xdr:from>
    <xdr:to>
      <xdr:col>15</xdr:col>
      <xdr:colOff>787400</xdr:colOff>
      <xdr:row>12</xdr:row>
      <xdr:rowOff>129540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1A7CE950-443D-DBBD-C1C2-80E1F8ECC7D3}"/>
            </a:ext>
          </a:extLst>
        </xdr:cNvPr>
        <xdr:cNvSpPr/>
      </xdr:nvSpPr>
      <xdr:spPr>
        <a:xfrm>
          <a:off x="9753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12</xdr:col>
      <xdr:colOff>345440</xdr:colOff>
      <xdr:row>7</xdr:row>
      <xdr:rowOff>40640</xdr:rowOff>
    </xdr:from>
    <xdr:to>
      <xdr:col>15</xdr:col>
      <xdr:colOff>635000</xdr:colOff>
      <xdr:row>8</xdr:row>
      <xdr:rowOff>111760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4FC21C9-EB2A-EB8B-D478-7DD39E4499C9}"/>
            </a:ext>
          </a:extLst>
        </xdr:cNvPr>
        <xdr:cNvSpPr txBox="1"/>
      </xdr:nvSpPr>
      <xdr:spPr>
        <a:xfrm>
          <a:off x="9855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PROMEDIO POR TURNO</a:t>
          </a:r>
        </a:p>
      </xdr:txBody>
    </xdr:sp>
    <xdr:clientData fLocksWithSheet="0"/>
  </xdr:twoCellAnchor>
  <xdr:twoCellAnchor>
    <xdr:from>
      <xdr:col>12</xdr:col>
      <xdr:colOff>345440</xdr:colOff>
      <xdr:row>8</xdr:row>
      <xdr:rowOff>137160</xdr:rowOff>
    </xdr:from>
    <xdr:to>
      <xdr:col>15</xdr:col>
      <xdr:colOff>635000</xdr:colOff>
      <xdr:row>11</xdr:row>
      <xdr:rowOff>121920</xdr:rowOff>
    </xdr:to>
    <xdr:sp macro="" textlink="">
      <xdr:nvSpPr>
        <xdr:cNvPr id="22" name="K4_Promedio">
          <a:extLst>
            <a:ext uri="{FF2B5EF4-FFF2-40B4-BE49-F238E27FC236}">
              <a16:creationId xmlns:a16="http://schemas.microsoft.com/office/drawing/2014/main" id="{AAE7915D-7894-FBFF-5F15-CA2A6C54C104}"/>
            </a:ext>
          </a:extLst>
        </xdr:cNvPr>
        <xdr:cNvSpPr txBox="1"/>
      </xdr:nvSpPr>
      <xdr:spPr>
        <a:xfrm>
          <a:off x="9855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0033CC"/>
              </a:solidFill>
            </a:rPr>
            <a:t>5,9 h / turno</a:t>
          </a:r>
        </a:p>
      </xdr:txBody>
    </xdr:sp>
    <xdr:clientData fLocksWithSheet="0"/>
  </xdr:twoCellAnchor>
  <xdr:twoCellAnchor>
    <xdr:from>
      <xdr:col>0</xdr:col>
      <xdr:colOff>228600</xdr:colOff>
      <xdr:row>13</xdr:row>
      <xdr:rowOff>99060</xdr:rowOff>
    </xdr:from>
    <xdr:to>
      <xdr:col>7</xdr:col>
      <xdr:colOff>777240</xdr:colOff>
      <xdr:row>16</xdr:row>
      <xdr:rowOff>7620</xdr:rowOff>
    </xdr:to>
    <xdr:sp macro="IrACuadrante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2C05327F-6B55-EEC4-43B8-0241B66AAF21}"/>
            </a:ext>
          </a:extLst>
        </xdr:cNvPr>
        <xdr:cNvSpPr/>
      </xdr:nvSpPr>
      <xdr:spPr>
        <a:xfrm>
          <a:off x="228600" y="2476500"/>
          <a:ext cx="6096000" cy="457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FFFFFF"/>
              </a:solidFill>
            </a:rPr>
            <a:t>ABRIR CUADRANTE MENSUAL (ASIGNAR TURNOS)</a:t>
          </a:r>
        </a:p>
      </xdr:txBody>
    </xdr:sp>
    <xdr:clientData fLocksWithSheet="0"/>
  </xdr:twoCellAnchor>
  <xdr:twoCellAnchor>
    <xdr:from>
      <xdr:col>8</xdr:col>
      <xdr:colOff>238760</xdr:colOff>
      <xdr:row>13</xdr:row>
      <xdr:rowOff>99060</xdr:rowOff>
    </xdr:from>
    <xdr:to>
      <xdr:col>15</xdr:col>
      <xdr:colOff>787400</xdr:colOff>
      <xdr:row>16</xdr:row>
      <xdr:rowOff>7620</xdr:rowOff>
    </xdr:to>
    <xdr:sp macro="IrARegistroHoras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FA59E4FD-8EF2-254B-B673-6BEBBA7AFD9A}"/>
            </a:ext>
          </a:extLst>
        </xdr:cNvPr>
        <xdr:cNvSpPr/>
      </xdr:nvSpPr>
      <xdr:spPr>
        <a:xfrm>
          <a:off x="6578600" y="2476500"/>
          <a:ext cx="6096000" cy="4572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FFFFFF"/>
              </a:solidFill>
            </a:rPr>
            <a:t>VER REGISTRO COMPLETO DE HORAS (FICHAJE)</a:t>
          </a:r>
        </a:p>
      </xdr:txBody>
    </xdr:sp>
    <xdr:clientData fLocksWithSheet="0"/>
  </xdr:twoCellAnchor>
  <xdr:twoCellAnchor>
    <xdr:from>
      <xdr:col>11</xdr:col>
      <xdr:colOff>363220</xdr:colOff>
      <xdr:row>0</xdr:row>
      <xdr:rowOff>127000</xdr:rowOff>
    </xdr:from>
    <xdr:to>
      <xdr:col>15</xdr:col>
      <xdr:colOff>114300</xdr:colOff>
      <xdr:row>2</xdr:row>
      <xdr:rowOff>167640</xdr:rowOff>
    </xdr:to>
    <xdr:sp macro="" textlink="">
      <xdr:nvSpPr>
        <xdr:cNvPr id="3" name="DrByte_Contact_Box">
          <a:extLst>
            <a:ext uri="{FF2B5EF4-FFF2-40B4-BE49-F238E27FC236}">
              <a16:creationId xmlns:a16="http://schemas.microsoft.com/office/drawing/2014/main" id="{680C2F03-E7BC-A78F-A750-CBD6243127A3}"/>
            </a:ext>
          </a:extLst>
        </xdr:cNvPr>
        <xdr:cNvSpPr txBox="1"/>
      </xdr:nvSpPr>
      <xdr:spPr>
        <a:xfrm>
          <a:off x="9080500" y="127000"/>
          <a:ext cx="29210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s-ES" sz="750" b="1">
              <a:solidFill>
                <a:srgbClr val="00B8FF"/>
              </a:solidFill>
              <a:latin typeface="Segoe UI" panose="020B0502040204020203" pitchFamily="34" charset="0"/>
            </a:rPr>
            <a:t>DR. BYTE  |  Soporte &amp; AuditorÃ­a
+34 607353910  |  hola.drbyte@gmail.com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15</xdr:row>
      <xdr:rowOff>30480</xdr:rowOff>
    </xdr:from>
    <xdr:to>
      <xdr:col>4</xdr:col>
      <xdr:colOff>449580</xdr:colOff>
      <xdr:row>17</xdr:row>
      <xdr:rowOff>45720</xdr:rowOff>
    </xdr:to>
    <xdr:sp macro="RegistrarServicioLimpiez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E544E14-9067-489A-B048-59C061995F75}"/>
            </a:ext>
          </a:extLst>
        </xdr:cNvPr>
        <xdr:cNvSpPr/>
      </xdr:nvSpPr>
      <xdr:spPr>
        <a:xfrm>
          <a:off x="571500" y="3048000"/>
          <a:ext cx="3048000" cy="381000"/>
        </a:xfrm>
        <a:prstGeom prst="roundRect">
          <a:avLst/>
        </a:prstGeom>
        <a:solidFill>
          <a:srgbClr val="00F0E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50" b="1">
              <a:solidFill>
                <a:srgbClr val="D3B401"/>
              </a:solidFill>
            </a:rPr>
            <a:t>REGISTRAR SERVICIO DE LIMPIEZA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B288-3DB2-4F64-A2BC-D626EABE210C}">
  <sheetPr codeName="Hoja1">
    <tabColor rgb="FFFF0000"/>
    <pageSetUpPr fitToPage="1"/>
  </sheetPr>
  <dimension ref="A1"/>
  <sheetViews>
    <sheetView tabSelected="1" workbookViewId="0"/>
  </sheetViews>
  <sheetFormatPr baseColWidth="10" defaultRowHeight="14.4" x14ac:dyDescent="0.3"/>
  <cols>
    <col min="1" max="16384" width="11.5546875" style="2"/>
  </cols>
  <sheetData/>
  <sheetProtection algorithmName="SHA-512" hashValue="w1xy6e0zMSp4XInZzodMgEsL9Ae/18hOI+zT9WT88KWGoQOQNlkOAh5IkHGNIJlMRKmBmmHmszs0VuEQkmjzgQ==" saltValue="HD5Fys+c+BLrpzfx3wH7QQ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scale="6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803D3-4E16-4805-805F-D2B1243664EC}">
  <sheetPr codeName="Hoja2">
    <tabColor rgb="FF0080FF"/>
  </sheetPr>
  <dimension ref="B2:AL12"/>
  <sheetViews>
    <sheetView workbookViewId="0"/>
  </sheetViews>
  <sheetFormatPr baseColWidth="10" defaultRowHeight="14.4" x14ac:dyDescent="0.3"/>
  <cols>
    <col min="1" max="7" width="11.5546875" style="2"/>
    <col min="8" max="38" width="4.33203125" style="2" customWidth="1"/>
    <col min="39" max="16384" width="11.5546875" style="2"/>
  </cols>
  <sheetData>
    <row r="2" spans="2:38" ht="36" customHeight="1" x14ac:dyDescent="0.35">
      <c r="B2" s="20" t="s">
        <v>69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4" spans="2:38" x14ac:dyDescent="0.3">
      <c r="B4" s="21" t="s">
        <v>70</v>
      </c>
      <c r="C4" s="21"/>
      <c r="D4" s="21"/>
      <c r="E4" s="21"/>
      <c r="G4" s="14" t="s">
        <v>80</v>
      </c>
      <c r="H4" s="15">
        <v>1</v>
      </c>
      <c r="I4" s="15">
        <v>2</v>
      </c>
      <c r="J4" s="15">
        <v>3</v>
      </c>
      <c r="K4" s="15">
        <v>4</v>
      </c>
      <c r="L4" s="15">
        <v>5</v>
      </c>
      <c r="M4" s="15">
        <v>6</v>
      </c>
      <c r="N4" s="15">
        <v>7</v>
      </c>
      <c r="O4" s="15">
        <v>8</v>
      </c>
      <c r="P4" s="15">
        <v>9</v>
      </c>
      <c r="Q4" s="15">
        <v>10</v>
      </c>
      <c r="R4" s="15">
        <v>11</v>
      </c>
      <c r="S4" s="15">
        <v>12</v>
      </c>
      <c r="T4" s="15">
        <v>13</v>
      </c>
      <c r="U4" s="15">
        <v>14</v>
      </c>
      <c r="V4" s="15">
        <v>15</v>
      </c>
      <c r="W4" s="15">
        <v>16</v>
      </c>
      <c r="X4" s="15">
        <v>17</v>
      </c>
      <c r="Y4" s="15">
        <v>18</v>
      </c>
      <c r="Z4" s="15">
        <v>19</v>
      </c>
      <c r="AA4" s="15">
        <v>20</v>
      </c>
      <c r="AB4" s="15">
        <v>21</v>
      </c>
      <c r="AC4" s="15">
        <v>22</v>
      </c>
      <c r="AD4" s="15">
        <v>23</v>
      </c>
      <c r="AE4" s="15">
        <v>24</v>
      </c>
      <c r="AF4" s="15">
        <v>25</v>
      </c>
      <c r="AG4" s="15">
        <v>26</v>
      </c>
      <c r="AH4" s="15">
        <v>27</v>
      </c>
      <c r="AI4" s="15">
        <v>28</v>
      </c>
      <c r="AJ4" s="15">
        <v>29</v>
      </c>
      <c r="AK4" s="15">
        <v>30</v>
      </c>
      <c r="AL4" s="15">
        <v>31</v>
      </c>
    </row>
    <row r="5" spans="2:38" x14ac:dyDescent="0.3">
      <c r="B5" s="16" t="s">
        <v>71</v>
      </c>
      <c r="D5" s="1" t="s">
        <v>72</v>
      </c>
      <c r="G5" s="3" t="s">
        <v>81</v>
      </c>
      <c r="H5" s="4" t="s">
        <v>82</v>
      </c>
      <c r="I5" s="4" t="s">
        <v>82</v>
      </c>
      <c r="J5" s="4" t="s">
        <v>82</v>
      </c>
      <c r="K5" s="4" t="s">
        <v>82</v>
      </c>
      <c r="L5" s="4" t="s">
        <v>82</v>
      </c>
      <c r="M5" s="5" t="s">
        <v>83</v>
      </c>
      <c r="N5" s="5" t="s">
        <v>83</v>
      </c>
      <c r="O5" s="4" t="s">
        <v>82</v>
      </c>
      <c r="P5" s="4" t="s">
        <v>82</v>
      </c>
      <c r="Q5" s="4" t="s">
        <v>82</v>
      </c>
      <c r="R5" s="4" t="s">
        <v>82</v>
      </c>
      <c r="S5" s="4" t="s">
        <v>82</v>
      </c>
      <c r="T5" s="5" t="s">
        <v>83</v>
      </c>
      <c r="U5" s="5" t="s">
        <v>83</v>
      </c>
      <c r="V5" s="4" t="s">
        <v>82</v>
      </c>
      <c r="W5" s="4" t="s">
        <v>82</v>
      </c>
      <c r="X5" s="4" t="s">
        <v>82</v>
      </c>
      <c r="Y5" s="4" t="s">
        <v>82</v>
      </c>
      <c r="Z5" s="4" t="s">
        <v>82</v>
      </c>
      <c r="AA5" s="5" t="s">
        <v>83</v>
      </c>
      <c r="AB5" s="5" t="s">
        <v>83</v>
      </c>
      <c r="AC5" s="4" t="s">
        <v>82</v>
      </c>
      <c r="AD5" s="4" t="s">
        <v>82</v>
      </c>
      <c r="AE5" s="4" t="s">
        <v>82</v>
      </c>
      <c r="AF5" s="4" t="s">
        <v>82</v>
      </c>
      <c r="AG5" s="4" t="s">
        <v>82</v>
      </c>
      <c r="AH5" s="5" t="s">
        <v>83</v>
      </c>
      <c r="AI5" s="5" t="s">
        <v>83</v>
      </c>
      <c r="AJ5" s="4" t="s">
        <v>82</v>
      </c>
      <c r="AK5" s="4" t="s">
        <v>82</v>
      </c>
      <c r="AL5" s="4" t="s">
        <v>82</v>
      </c>
    </row>
    <row r="6" spans="2:38" x14ac:dyDescent="0.3">
      <c r="B6" s="16" t="s">
        <v>73</v>
      </c>
      <c r="D6" s="1" t="s">
        <v>7</v>
      </c>
      <c r="G6" s="3" t="s">
        <v>14</v>
      </c>
      <c r="H6" s="4" t="s">
        <v>82</v>
      </c>
      <c r="I6" s="4" t="s">
        <v>82</v>
      </c>
      <c r="J6" s="4" t="s">
        <v>82</v>
      </c>
      <c r="K6" s="4" t="s">
        <v>82</v>
      </c>
      <c r="L6" s="4" t="s">
        <v>82</v>
      </c>
      <c r="M6" s="5" t="s">
        <v>83</v>
      </c>
      <c r="N6" s="5" t="s">
        <v>83</v>
      </c>
      <c r="O6" s="4" t="s">
        <v>82</v>
      </c>
      <c r="P6" s="4" t="s">
        <v>82</v>
      </c>
      <c r="Q6" s="4" t="s">
        <v>82</v>
      </c>
      <c r="R6" s="4" t="s">
        <v>82</v>
      </c>
      <c r="S6" s="4" t="s">
        <v>82</v>
      </c>
      <c r="T6" s="5" t="s">
        <v>83</v>
      </c>
      <c r="U6" s="5" t="s">
        <v>83</v>
      </c>
      <c r="V6" s="4" t="s">
        <v>82</v>
      </c>
      <c r="W6" s="4" t="s">
        <v>82</v>
      </c>
      <c r="X6" s="4" t="s">
        <v>82</v>
      </c>
      <c r="Y6" s="4" t="s">
        <v>82</v>
      </c>
      <c r="Z6" s="4" t="s">
        <v>82</v>
      </c>
      <c r="AA6" s="5" t="s">
        <v>83</v>
      </c>
      <c r="AB6" s="5" t="s">
        <v>83</v>
      </c>
      <c r="AC6" s="4" t="s">
        <v>82</v>
      </c>
      <c r="AD6" s="4" t="s">
        <v>82</v>
      </c>
      <c r="AE6" s="4" t="s">
        <v>82</v>
      </c>
      <c r="AF6" s="4" t="s">
        <v>82</v>
      </c>
      <c r="AG6" s="4" t="s">
        <v>82</v>
      </c>
      <c r="AH6" s="5" t="s">
        <v>83</v>
      </c>
      <c r="AI6" s="5" t="s">
        <v>83</v>
      </c>
      <c r="AJ6" s="4" t="s">
        <v>82</v>
      </c>
      <c r="AK6" s="4" t="s">
        <v>82</v>
      </c>
      <c r="AL6" s="4" t="s">
        <v>82</v>
      </c>
    </row>
    <row r="7" spans="2:38" x14ac:dyDescent="0.3">
      <c r="B7" s="16" t="s">
        <v>74</v>
      </c>
      <c r="D7" s="1" t="s">
        <v>8</v>
      </c>
      <c r="G7" s="3" t="s">
        <v>19</v>
      </c>
      <c r="H7" s="6" t="s">
        <v>84</v>
      </c>
      <c r="I7" s="6" t="s">
        <v>84</v>
      </c>
      <c r="J7" s="6" t="s">
        <v>84</v>
      </c>
      <c r="K7" s="6" t="s">
        <v>84</v>
      </c>
      <c r="L7" s="6" t="s">
        <v>84</v>
      </c>
      <c r="M7" s="5" t="s">
        <v>83</v>
      </c>
      <c r="N7" s="5" t="s">
        <v>83</v>
      </c>
      <c r="O7" s="6" t="s">
        <v>84</v>
      </c>
      <c r="P7" s="6" t="s">
        <v>84</v>
      </c>
      <c r="Q7" s="6" t="s">
        <v>84</v>
      </c>
      <c r="R7" s="6" t="s">
        <v>84</v>
      </c>
      <c r="S7" s="6" t="s">
        <v>84</v>
      </c>
      <c r="T7" s="5" t="s">
        <v>83</v>
      </c>
      <c r="U7" s="5" t="s">
        <v>83</v>
      </c>
      <c r="V7" s="6" t="s">
        <v>84</v>
      </c>
      <c r="W7" s="6" t="s">
        <v>84</v>
      </c>
      <c r="X7" s="6" t="s">
        <v>84</v>
      </c>
      <c r="Y7" s="6" t="s">
        <v>84</v>
      </c>
      <c r="Z7" s="6" t="s">
        <v>84</v>
      </c>
      <c r="AA7" s="5" t="s">
        <v>83</v>
      </c>
      <c r="AB7" s="5" t="s">
        <v>83</v>
      </c>
      <c r="AC7" s="6" t="s">
        <v>84</v>
      </c>
      <c r="AD7" s="6" t="s">
        <v>84</v>
      </c>
      <c r="AE7" s="6" t="s">
        <v>84</v>
      </c>
      <c r="AF7" s="6" t="s">
        <v>84</v>
      </c>
      <c r="AG7" s="6" t="s">
        <v>84</v>
      </c>
      <c r="AH7" s="5" t="s">
        <v>83</v>
      </c>
      <c r="AI7" s="5" t="s">
        <v>83</v>
      </c>
      <c r="AJ7" s="6" t="s">
        <v>84</v>
      </c>
      <c r="AK7" s="6" t="s">
        <v>84</v>
      </c>
      <c r="AL7" s="6" t="s">
        <v>84</v>
      </c>
    </row>
    <row r="8" spans="2:38" x14ac:dyDescent="0.3">
      <c r="B8" s="16" t="s">
        <v>75</v>
      </c>
      <c r="D8" s="1" t="s">
        <v>11</v>
      </c>
      <c r="G8" s="3" t="s">
        <v>85</v>
      </c>
      <c r="H8" s="7" t="s">
        <v>86</v>
      </c>
      <c r="I8" s="7" t="s">
        <v>86</v>
      </c>
      <c r="J8" s="7" t="s">
        <v>86</v>
      </c>
      <c r="K8" s="7" t="s">
        <v>86</v>
      </c>
      <c r="L8" s="7" t="s">
        <v>86</v>
      </c>
      <c r="M8" s="5" t="s">
        <v>83</v>
      </c>
      <c r="N8" s="5" t="s">
        <v>83</v>
      </c>
      <c r="O8" s="7" t="s">
        <v>86</v>
      </c>
      <c r="P8" s="7" t="s">
        <v>86</v>
      </c>
      <c r="Q8" s="7" t="s">
        <v>86</v>
      </c>
      <c r="R8" s="7" t="s">
        <v>86</v>
      </c>
      <c r="S8" s="7" t="s">
        <v>86</v>
      </c>
      <c r="T8" s="5" t="s">
        <v>83</v>
      </c>
      <c r="U8" s="5" t="s">
        <v>83</v>
      </c>
      <c r="V8" s="7" t="s">
        <v>86</v>
      </c>
      <c r="W8" s="7" t="s">
        <v>86</v>
      </c>
      <c r="X8" s="7" t="s">
        <v>86</v>
      </c>
      <c r="Y8" s="7" t="s">
        <v>86</v>
      </c>
      <c r="Z8" s="7" t="s">
        <v>86</v>
      </c>
      <c r="AA8" s="5" t="s">
        <v>83</v>
      </c>
      <c r="AB8" s="5" t="s">
        <v>83</v>
      </c>
      <c r="AC8" s="7" t="s">
        <v>86</v>
      </c>
      <c r="AD8" s="7" t="s">
        <v>86</v>
      </c>
      <c r="AE8" s="7" t="s">
        <v>86</v>
      </c>
      <c r="AF8" s="7" t="s">
        <v>86</v>
      </c>
      <c r="AG8" s="7" t="s">
        <v>86</v>
      </c>
      <c r="AH8" s="5" t="s">
        <v>83</v>
      </c>
      <c r="AI8" s="5" t="s">
        <v>83</v>
      </c>
      <c r="AJ8" s="7" t="s">
        <v>86</v>
      </c>
      <c r="AK8" s="7" t="s">
        <v>86</v>
      </c>
      <c r="AL8" s="7" t="s">
        <v>86</v>
      </c>
    </row>
    <row r="9" spans="2:38" x14ac:dyDescent="0.3">
      <c r="B9" s="16" t="s">
        <v>76</v>
      </c>
      <c r="D9" s="1" t="s">
        <v>10</v>
      </c>
      <c r="G9" s="3" t="s">
        <v>87</v>
      </c>
      <c r="H9" s="6" t="s">
        <v>84</v>
      </c>
      <c r="I9" s="6" t="s">
        <v>84</v>
      </c>
      <c r="J9" s="6" t="s">
        <v>84</v>
      </c>
      <c r="K9" s="6" t="s">
        <v>84</v>
      </c>
      <c r="L9" s="6" t="s">
        <v>84</v>
      </c>
      <c r="M9" s="5" t="s">
        <v>83</v>
      </c>
      <c r="N9" s="5" t="s">
        <v>83</v>
      </c>
      <c r="O9" s="6" t="s">
        <v>84</v>
      </c>
      <c r="P9" s="6" t="s">
        <v>84</v>
      </c>
      <c r="Q9" s="6" t="s">
        <v>84</v>
      </c>
      <c r="R9" s="6" t="s">
        <v>84</v>
      </c>
      <c r="S9" s="6" t="s">
        <v>84</v>
      </c>
      <c r="T9" s="5" t="s">
        <v>83</v>
      </c>
      <c r="U9" s="5" t="s">
        <v>83</v>
      </c>
      <c r="V9" s="6" t="s">
        <v>84</v>
      </c>
      <c r="W9" s="6" t="s">
        <v>84</v>
      </c>
      <c r="X9" s="6" t="s">
        <v>84</v>
      </c>
      <c r="Y9" s="6" t="s">
        <v>84</v>
      </c>
      <c r="Z9" s="6" t="s">
        <v>84</v>
      </c>
      <c r="AA9" s="5" t="s">
        <v>83</v>
      </c>
      <c r="AB9" s="5" t="s">
        <v>83</v>
      </c>
      <c r="AC9" s="6" t="s">
        <v>84</v>
      </c>
      <c r="AD9" s="6" t="s">
        <v>84</v>
      </c>
      <c r="AE9" s="6" t="s">
        <v>84</v>
      </c>
      <c r="AF9" s="6" t="s">
        <v>84</v>
      </c>
      <c r="AG9" s="6" t="s">
        <v>84</v>
      </c>
      <c r="AH9" s="5" t="s">
        <v>83</v>
      </c>
      <c r="AI9" s="5" t="s">
        <v>83</v>
      </c>
      <c r="AJ9" s="6" t="s">
        <v>84</v>
      </c>
      <c r="AK9" s="6" t="s">
        <v>84</v>
      </c>
      <c r="AL9" s="6" t="s">
        <v>84</v>
      </c>
    </row>
    <row r="10" spans="2:38" x14ac:dyDescent="0.3">
      <c r="B10" s="16" t="s">
        <v>77</v>
      </c>
      <c r="D10" s="8">
        <v>0.29166666666666669</v>
      </c>
      <c r="G10" s="3" t="s">
        <v>88</v>
      </c>
      <c r="H10" s="4" t="s">
        <v>82</v>
      </c>
      <c r="I10" s="4" t="s">
        <v>82</v>
      </c>
      <c r="J10" s="4" t="s">
        <v>82</v>
      </c>
      <c r="K10" s="4" t="s">
        <v>82</v>
      </c>
      <c r="L10" s="4" t="s">
        <v>82</v>
      </c>
      <c r="M10" s="5" t="s">
        <v>83</v>
      </c>
      <c r="N10" s="5" t="s">
        <v>83</v>
      </c>
      <c r="O10" s="4" t="s">
        <v>82</v>
      </c>
      <c r="P10" s="4" t="s">
        <v>82</v>
      </c>
      <c r="Q10" s="4" t="s">
        <v>82</v>
      </c>
      <c r="R10" s="4" t="s">
        <v>82</v>
      </c>
      <c r="S10" s="4" t="s">
        <v>82</v>
      </c>
      <c r="T10" s="5" t="s">
        <v>83</v>
      </c>
      <c r="U10" s="5" t="s">
        <v>83</v>
      </c>
      <c r="V10" s="4" t="s">
        <v>82</v>
      </c>
      <c r="W10" s="4" t="s">
        <v>82</v>
      </c>
      <c r="X10" s="4" t="s">
        <v>82</v>
      </c>
      <c r="Y10" s="4" t="s">
        <v>82</v>
      </c>
      <c r="Z10" s="4" t="s">
        <v>82</v>
      </c>
      <c r="AA10" s="5" t="s">
        <v>83</v>
      </c>
      <c r="AB10" s="5" t="s">
        <v>83</v>
      </c>
      <c r="AC10" s="4" t="s">
        <v>82</v>
      </c>
      <c r="AD10" s="4" t="s">
        <v>82</v>
      </c>
      <c r="AE10" s="4" t="s">
        <v>82</v>
      </c>
      <c r="AF10" s="4" t="s">
        <v>82</v>
      </c>
      <c r="AG10" s="4" t="s">
        <v>82</v>
      </c>
      <c r="AH10" s="5" t="s">
        <v>83</v>
      </c>
      <c r="AI10" s="5" t="s">
        <v>83</v>
      </c>
      <c r="AJ10" s="4" t="s">
        <v>82</v>
      </c>
      <c r="AK10" s="4" t="s">
        <v>82</v>
      </c>
      <c r="AL10" s="4" t="s">
        <v>82</v>
      </c>
    </row>
    <row r="11" spans="2:38" x14ac:dyDescent="0.3">
      <c r="B11" s="16" t="s">
        <v>78</v>
      </c>
      <c r="D11" s="8">
        <v>0.625</v>
      </c>
      <c r="G11" s="3" t="s">
        <v>89</v>
      </c>
      <c r="H11" s="6" t="s">
        <v>84</v>
      </c>
      <c r="I11" s="6" t="s">
        <v>84</v>
      </c>
      <c r="J11" s="6" t="s">
        <v>84</v>
      </c>
      <c r="K11" s="6" t="s">
        <v>84</v>
      </c>
      <c r="L11" s="6" t="s">
        <v>84</v>
      </c>
      <c r="M11" s="5" t="s">
        <v>83</v>
      </c>
      <c r="N11" s="5" t="s">
        <v>83</v>
      </c>
      <c r="O11" s="6" t="s">
        <v>84</v>
      </c>
      <c r="P11" s="6" t="s">
        <v>84</v>
      </c>
      <c r="Q11" s="6" t="s">
        <v>84</v>
      </c>
      <c r="R11" s="6" t="s">
        <v>84</v>
      </c>
      <c r="S11" s="6" t="s">
        <v>84</v>
      </c>
      <c r="T11" s="5" t="s">
        <v>83</v>
      </c>
      <c r="U11" s="5" t="s">
        <v>83</v>
      </c>
      <c r="V11" s="6" t="s">
        <v>84</v>
      </c>
      <c r="W11" s="6" t="s">
        <v>84</v>
      </c>
      <c r="X11" s="6" t="s">
        <v>84</v>
      </c>
      <c r="Y11" s="6" t="s">
        <v>84</v>
      </c>
      <c r="Z11" s="6" t="s">
        <v>84</v>
      </c>
      <c r="AA11" s="5" t="s">
        <v>83</v>
      </c>
      <c r="AB11" s="5" t="s">
        <v>83</v>
      </c>
      <c r="AC11" s="6" t="s">
        <v>84</v>
      </c>
      <c r="AD11" s="6" t="s">
        <v>84</v>
      </c>
      <c r="AE11" s="6" t="s">
        <v>84</v>
      </c>
      <c r="AF11" s="6" t="s">
        <v>84</v>
      </c>
      <c r="AG11" s="6" t="s">
        <v>84</v>
      </c>
      <c r="AH11" s="5" t="s">
        <v>83</v>
      </c>
      <c r="AI11" s="5" t="s">
        <v>83</v>
      </c>
      <c r="AJ11" s="6" t="s">
        <v>84</v>
      </c>
      <c r="AK11" s="6" t="s">
        <v>84</v>
      </c>
      <c r="AL11" s="6" t="s">
        <v>84</v>
      </c>
    </row>
    <row r="12" spans="2:38" x14ac:dyDescent="0.3">
      <c r="B12" s="16" t="s">
        <v>79</v>
      </c>
      <c r="D12" s="1">
        <v>0.5</v>
      </c>
      <c r="G12" s="3" t="s">
        <v>90</v>
      </c>
      <c r="H12" s="5" t="s">
        <v>83</v>
      </c>
      <c r="I12" s="5" t="s">
        <v>83</v>
      </c>
      <c r="J12" s="5" t="s">
        <v>83</v>
      </c>
      <c r="K12" s="5" t="s">
        <v>83</v>
      </c>
      <c r="L12" s="5" t="s">
        <v>83</v>
      </c>
      <c r="M12" s="4" t="s">
        <v>82</v>
      </c>
      <c r="N12" s="4" t="s">
        <v>82</v>
      </c>
      <c r="O12" s="5" t="s">
        <v>83</v>
      </c>
      <c r="P12" s="5" t="s">
        <v>83</v>
      </c>
      <c r="Q12" s="5" t="s">
        <v>83</v>
      </c>
      <c r="R12" s="5" t="s">
        <v>83</v>
      </c>
      <c r="S12" s="5" t="s">
        <v>83</v>
      </c>
      <c r="T12" s="4" t="s">
        <v>82</v>
      </c>
      <c r="U12" s="4" t="s">
        <v>82</v>
      </c>
      <c r="V12" s="5" t="s">
        <v>83</v>
      </c>
      <c r="W12" s="5" t="s">
        <v>83</v>
      </c>
      <c r="X12" s="5" t="s">
        <v>83</v>
      </c>
      <c r="Y12" s="5" t="s">
        <v>83</v>
      </c>
      <c r="Z12" s="5" t="s">
        <v>83</v>
      </c>
      <c r="AA12" s="4" t="s">
        <v>82</v>
      </c>
      <c r="AB12" s="4" t="s">
        <v>82</v>
      </c>
      <c r="AC12" s="5" t="s">
        <v>83</v>
      </c>
      <c r="AD12" s="5" t="s">
        <v>83</v>
      </c>
      <c r="AE12" s="5" t="s">
        <v>83</v>
      </c>
      <c r="AF12" s="5" t="s">
        <v>83</v>
      </c>
      <c r="AG12" s="5" t="s">
        <v>83</v>
      </c>
      <c r="AH12" s="4" t="s">
        <v>82</v>
      </c>
      <c r="AI12" s="4" t="s">
        <v>82</v>
      </c>
      <c r="AJ12" s="5" t="s">
        <v>83</v>
      </c>
      <c r="AK12" s="5" t="s">
        <v>83</v>
      </c>
      <c r="AL12" s="5" t="s">
        <v>83</v>
      </c>
    </row>
  </sheetData>
  <sheetProtection algorithmName="SHA-512" hashValue="uQYy2Q6jxaKqV3o0OLB3Fxflbnm0zrk4qQELqSFbCd9lRA4lxJN92R4GAykjVS+KZC6cZQA7vbZWvF+1WzXbHg==" saltValue="gZ4E+uLxi2Im+iAplS7uAA==" spinCount="100000" objects="1" formatCells="0" formatColumns="0" formatRows="0" insertColumns="0" insertRows="0" insertHyperlinks="0" deleteColumns="0" deleteRows="0" sort="0" autoFilter="0" pivotTables="0"/>
  <mergeCells count="2">
    <mergeCell ref="B2:AI2"/>
    <mergeCell ref="B4:E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D002-78E9-4C18-B9DA-E0F360B5F8A8}">
  <sheetPr codeName="Hoja3">
    <tabColor rgb="FF008000"/>
  </sheetPr>
  <dimension ref="A1:K11"/>
  <sheetViews>
    <sheetView workbookViewId="0"/>
  </sheetViews>
  <sheetFormatPr baseColWidth="10" defaultRowHeight="14.4" x14ac:dyDescent="0.3"/>
  <cols>
    <col min="1" max="1" width="13.44140625" style="2" bestFit="1" customWidth="1"/>
    <col min="2" max="2" width="10.33203125" style="2" bestFit="1" customWidth="1"/>
    <col min="3" max="3" width="13.88671875" style="2" bestFit="1" customWidth="1"/>
    <col min="4" max="4" width="21.88671875" style="2" bestFit="1" customWidth="1"/>
    <col min="5" max="5" width="19.44140625" style="2" bestFit="1" customWidth="1"/>
    <col min="6" max="6" width="22.5546875" style="2" bestFit="1" customWidth="1"/>
    <col min="7" max="7" width="17.109375" style="2" bestFit="1" customWidth="1"/>
    <col min="8" max="8" width="14.5546875" style="2" bestFit="1" customWidth="1"/>
    <col min="9" max="9" width="15.21875" style="2" bestFit="1" customWidth="1"/>
    <col min="10" max="10" width="18.88671875" style="2" bestFit="1" customWidth="1"/>
    <col min="11" max="11" width="10.77734375" style="2" bestFit="1" customWidth="1"/>
    <col min="12" max="16384" width="11.5546875" style="2"/>
  </cols>
  <sheetData>
    <row r="1" spans="1:11" ht="16.8" x14ac:dyDescent="0.4">
      <c r="A1" s="17" t="s">
        <v>48</v>
      </c>
      <c r="B1" s="17" t="s">
        <v>49</v>
      </c>
      <c r="C1" s="17" t="s">
        <v>0</v>
      </c>
      <c r="D1" s="17" t="s">
        <v>50</v>
      </c>
      <c r="E1" s="17" t="s">
        <v>51</v>
      </c>
      <c r="F1" s="17" t="s">
        <v>52</v>
      </c>
      <c r="G1" s="17" t="s">
        <v>53</v>
      </c>
      <c r="H1" s="17" t="s">
        <v>54</v>
      </c>
      <c r="I1" s="17" t="s">
        <v>55</v>
      </c>
      <c r="J1" s="17" t="s">
        <v>56</v>
      </c>
      <c r="K1" s="17" t="s">
        <v>57</v>
      </c>
    </row>
    <row r="2" spans="1:11" x14ac:dyDescent="0.3">
      <c r="A2" s="9" t="s">
        <v>58</v>
      </c>
      <c r="B2" s="10">
        <v>46031</v>
      </c>
      <c r="C2" s="9" t="s">
        <v>7</v>
      </c>
      <c r="D2" s="2" t="s">
        <v>8</v>
      </c>
      <c r="E2" s="2" t="s">
        <v>10</v>
      </c>
      <c r="F2" s="2" t="s">
        <v>11</v>
      </c>
      <c r="G2" s="11">
        <v>0.29166666666666669</v>
      </c>
      <c r="H2" s="11">
        <v>0.625</v>
      </c>
      <c r="I2" s="2">
        <v>0.5</v>
      </c>
      <c r="J2" s="18">
        <f t="shared" ref="J2:J11" si="0">MAX(0, (H2 - G2)*24 - I2)</f>
        <v>7.5</v>
      </c>
      <c r="K2" s="9" t="s">
        <v>59</v>
      </c>
    </row>
    <row r="3" spans="1:11" x14ac:dyDescent="0.3">
      <c r="A3" s="9" t="s">
        <v>60</v>
      </c>
      <c r="B3" s="10">
        <v>46031</v>
      </c>
      <c r="C3" s="9" t="s">
        <v>13</v>
      </c>
      <c r="D3" s="2" t="s">
        <v>14</v>
      </c>
      <c r="E3" s="2" t="s">
        <v>10</v>
      </c>
      <c r="F3" s="2" t="s">
        <v>16</v>
      </c>
      <c r="G3" s="11">
        <v>0.29166666666666669</v>
      </c>
      <c r="H3" s="11">
        <v>0.625</v>
      </c>
      <c r="I3" s="2">
        <v>0.5</v>
      </c>
      <c r="J3" s="18">
        <f t="shared" si="0"/>
        <v>7.5</v>
      </c>
      <c r="K3" s="9" t="s">
        <v>59</v>
      </c>
    </row>
    <row r="4" spans="1:11" x14ac:dyDescent="0.3">
      <c r="A4" s="9" t="s">
        <v>61</v>
      </c>
      <c r="B4" s="10">
        <v>46031</v>
      </c>
      <c r="C4" s="9" t="s">
        <v>18</v>
      </c>
      <c r="D4" s="2" t="s">
        <v>19</v>
      </c>
      <c r="E4" s="2" t="s">
        <v>21</v>
      </c>
      <c r="F4" s="2" t="s">
        <v>22</v>
      </c>
      <c r="G4" s="11">
        <v>0.625</v>
      </c>
      <c r="H4" s="11">
        <v>0.95833333333333337</v>
      </c>
      <c r="I4" s="2">
        <v>0.5</v>
      </c>
      <c r="J4" s="18">
        <f t="shared" si="0"/>
        <v>7.5</v>
      </c>
      <c r="K4" s="9" t="s">
        <v>59</v>
      </c>
    </row>
    <row r="5" spans="1:11" x14ac:dyDescent="0.3">
      <c r="A5" s="9" t="s">
        <v>62</v>
      </c>
      <c r="B5" s="10">
        <v>46031</v>
      </c>
      <c r="C5" s="9" t="s">
        <v>24</v>
      </c>
      <c r="D5" s="2" t="s">
        <v>25</v>
      </c>
      <c r="E5" s="2" t="s">
        <v>27</v>
      </c>
      <c r="F5" s="2" t="s">
        <v>28</v>
      </c>
      <c r="G5" s="11">
        <v>0.95833333333333337</v>
      </c>
      <c r="H5" s="11">
        <v>0.29166666666666669</v>
      </c>
      <c r="I5" s="2">
        <v>0.5</v>
      </c>
      <c r="J5" s="18">
        <f t="shared" si="0"/>
        <v>0</v>
      </c>
      <c r="K5" s="9" t="s">
        <v>59</v>
      </c>
    </row>
    <row r="6" spans="1:11" x14ac:dyDescent="0.3">
      <c r="A6" s="9" t="s">
        <v>63</v>
      </c>
      <c r="B6" s="10">
        <v>46062</v>
      </c>
      <c r="C6" s="9" t="s">
        <v>7</v>
      </c>
      <c r="D6" s="2" t="s">
        <v>8</v>
      </c>
      <c r="E6" s="2" t="s">
        <v>10</v>
      </c>
      <c r="F6" s="2" t="s">
        <v>11</v>
      </c>
      <c r="G6" s="11">
        <v>0.29166666666666669</v>
      </c>
      <c r="H6" s="11">
        <v>0.625</v>
      </c>
      <c r="I6" s="2">
        <v>0.5</v>
      </c>
      <c r="J6" s="18">
        <f t="shared" si="0"/>
        <v>7.5</v>
      </c>
      <c r="K6" s="9" t="s">
        <v>59</v>
      </c>
    </row>
    <row r="7" spans="1:11" x14ac:dyDescent="0.3">
      <c r="A7" s="9" t="s">
        <v>64</v>
      </c>
      <c r="B7" s="10">
        <v>46062</v>
      </c>
      <c r="C7" s="9" t="s">
        <v>30</v>
      </c>
      <c r="D7" s="2" t="s">
        <v>31</v>
      </c>
      <c r="E7" s="2" t="s">
        <v>21</v>
      </c>
      <c r="F7" s="2" t="s">
        <v>33</v>
      </c>
      <c r="G7" s="11">
        <v>0.625</v>
      </c>
      <c r="H7" s="11">
        <v>0.875</v>
      </c>
      <c r="I7" s="2">
        <v>0</v>
      </c>
      <c r="J7" s="18">
        <f t="shared" si="0"/>
        <v>6</v>
      </c>
      <c r="K7" s="9" t="s">
        <v>59</v>
      </c>
    </row>
    <row r="8" spans="1:11" x14ac:dyDescent="0.3">
      <c r="A8" s="9" t="s">
        <v>65</v>
      </c>
      <c r="B8" s="10">
        <v>46062</v>
      </c>
      <c r="C8" s="9" t="s">
        <v>40</v>
      </c>
      <c r="D8" s="2" t="s">
        <v>41</v>
      </c>
      <c r="E8" s="2" t="s">
        <v>21</v>
      </c>
      <c r="F8" s="2" t="s">
        <v>16</v>
      </c>
      <c r="G8" s="11">
        <v>0.625</v>
      </c>
      <c r="H8" s="11">
        <v>0.95833333333333337</v>
      </c>
      <c r="I8" s="2">
        <v>0.5</v>
      </c>
      <c r="J8" s="18">
        <f t="shared" si="0"/>
        <v>7.5</v>
      </c>
      <c r="K8" s="9" t="s">
        <v>59</v>
      </c>
    </row>
    <row r="9" spans="1:11" x14ac:dyDescent="0.3">
      <c r="A9" s="9" t="s">
        <v>66</v>
      </c>
      <c r="B9" s="10">
        <v>46090</v>
      </c>
      <c r="C9" s="9" t="s">
        <v>13</v>
      </c>
      <c r="D9" s="2" t="s">
        <v>14</v>
      </c>
      <c r="E9" s="2" t="s">
        <v>10</v>
      </c>
      <c r="F9" s="2" t="s">
        <v>16</v>
      </c>
      <c r="G9" s="11">
        <v>0.29166666666666669</v>
      </c>
      <c r="H9" s="11">
        <v>0.625</v>
      </c>
      <c r="I9" s="2">
        <v>0.5</v>
      </c>
      <c r="J9" s="18">
        <f t="shared" si="0"/>
        <v>7.5</v>
      </c>
      <c r="K9" s="9" t="s">
        <v>59</v>
      </c>
    </row>
    <row r="10" spans="1:11" x14ac:dyDescent="0.3">
      <c r="A10" s="9" t="s">
        <v>67</v>
      </c>
      <c r="B10" s="10">
        <v>46090</v>
      </c>
      <c r="C10" s="9" t="s">
        <v>35</v>
      </c>
      <c r="D10" s="2" t="s">
        <v>36</v>
      </c>
      <c r="E10" s="2" t="s">
        <v>10</v>
      </c>
      <c r="F10" s="2" t="s">
        <v>38</v>
      </c>
      <c r="G10" s="11">
        <v>0.3125</v>
      </c>
      <c r="H10" s="11">
        <v>0.64583333333333337</v>
      </c>
      <c r="I10" s="2">
        <v>0.5</v>
      </c>
      <c r="J10" s="18">
        <f t="shared" si="0"/>
        <v>7.5</v>
      </c>
      <c r="K10" s="9" t="s">
        <v>59</v>
      </c>
    </row>
    <row r="11" spans="1:11" x14ac:dyDescent="0.3">
      <c r="A11" s="9" t="s">
        <v>68</v>
      </c>
      <c r="B11" s="10">
        <v>46090</v>
      </c>
      <c r="C11" s="9" t="s">
        <v>24</v>
      </c>
      <c r="D11" s="2" t="s">
        <v>25</v>
      </c>
      <c r="E11" s="2" t="s">
        <v>27</v>
      </c>
      <c r="F11" s="2" t="s">
        <v>28</v>
      </c>
      <c r="G11" s="11">
        <v>0.95833333333333337</v>
      </c>
      <c r="H11" s="11">
        <v>0.29166666666666669</v>
      </c>
      <c r="I11" s="2">
        <v>0.5</v>
      </c>
      <c r="J11" s="18">
        <f t="shared" si="0"/>
        <v>0</v>
      </c>
      <c r="K11" s="9" t="s">
        <v>59</v>
      </c>
    </row>
  </sheetData>
  <sheetProtection algorithmName="SHA-512" hashValue="iV94d3eioaZDFMxbgy7IWwhVN3EPQL8TwGpQvMDJOLsW7tF6E7MDpMvBtYJb4GL1XB80iXAJOZUotWn5E76qJg==" saltValue="ZWEkW3AC55waj0fFM4JFBg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74930-413B-4677-A879-E652EDFBBFEB}">
  <sheetPr codeName="Hoja4">
    <tabColor rgb="FF004080"/>
  </sheetPr>
  <dimension ref="A1:G9"/>
  <sheetViews>
    <sheetView showGridLines="0" workbookViewId="0"/>
  </sheetViews>
  <sheetFormatPr baseColWidth="10" defaultRowHeight="14.4" x14ac:dyDescent="0.3"/>
  <cols>
    <col min="1" max="1" width="13.88671875" style="2" bestFit="1" customWidth="1"/>
    <col min="2" max="2" width="21.6640625" style="2" bestFit="1" customWidth="1"/>
    <col min="3" max="3" width="27.33203125" style="2" bestFit="1" customWidth="1"/>
    <col min="4" max="4" width="20.88671875" style="2" bestFit="1" customWidth="1"/>
    <col min="5" max="5" width="21.77734375" style="2" bestFit="1" customWidth="1"/>
    <col min="6" max="6" width="11.33203125" style="2" bestFit="1" customWidth="1"/>
    <col min="7" max="7" width="24.33203125" style="2" bestFit="1" customWidth="1"/>
    <col min="8" max="16384" width="11.5546875" style="2"/>
  </cols>
  <sheetData>
    <row r="1" spans="1:7" ht="16.8" x14ac:dyDescent="0.4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</row>
    <row r="2" spans="1:7" x14ac:dyDescent="0.3">
      <c r="A2" s="12" t="s">
        <v>7</v>
      </c>
      <c r="B2" s="13" t="s">
        <v>8</v>
      </c>
      <c r="C2" s="13" t="s">
        <v>9</v>
      </c>
      <c r="D2" s="13" t="s">
        <v>10</v>
      </c>
      <c r="E2" s="13" t="s">
        <v>11</v>
      </c>
      <c r="F2" s="12" t="s">
        <v>12</v>
      </c>
      <c r="G2" s="12">
        <v>160</v>
      </c>
    </row>
    <row r="3" spans="1:7" x14ac:dyDescent="0.3">
      <c r="A3" s="12" t="s">
        <v>13</v>
      </c>
      <c r="B3" s="13" t="s">
        <v>14</v>
      </c>
      <c r="C3" s="13" t="s">
        <v>15</v>
      </c>
      <c r="D3" s="13" t="s">
        <v>10</v>
      </c>
      <c r="E3" s="13" t="s">
        <v>16</v>
      </c>
      <c r="F3" s="12" t="s">
        <v>17</v>
      </c>
      <c r="G3" s="12">
        <v>160</v>
      </c>
    </row>
    <row r="4" spans="1:7" x14ac:dyDescent="0.3">
      <c r="A4" s="12" t="s">
        <v>18</v>
      </c>
      <c r="B4" s="13" t="s">
        <v>19</v>
      </c>
      <c r="C4" s="13" t="s">
        <v>20</v>
      </c>
      <c r="D4" s="13" t="s">
        <v>21</v>
      </c>
      <c r="E4" s="13" t="s">
        <v>22</v>
      </c>
      <c r="F4" s="12" t="s">
        <v>23</v>
      </c>
      <c r="G4" s="12">
        <v>140</v>
      </c>
    </row>
    <row r="5" spans="1:7" x14ac:dyDescent="0.3">
      <c r="A5" s="12" t="s">
        <v>24</v>
      </c>
      <c r="B5" s="13" t="s">
        <v>25</v>
      </c>
      <c r="C5" s="13" t="s">
        <v>26</v>
      </c>
      <c r="D5" s="13" t="s">
        <v>27</v>
      </c>
      <c r="E5" s="13" t="s">
        <v>28</v>
      </c>
      <c r="F5" s="12" t="s">
        <v>29</v>
      </c>
      <c r="G5" s="12">
        <v>160</v>
      </c>
    </row>
    <row r="6" spans="1:7" x14ac:dyDescent="0.3">
      <c r="A6" s="12" t="s">
        <v>30</v>
      </c>
      <c r="B6" s="13" t="s">
        <v>31</v>
      </c>
      <c r="C6" s="13" t="s">
        <v>32</v>
      </c>
      <c r="D6" s="13" t="s">
        <v>21</v>
      </c>
      <c r="E6" s="13" t="s">
        <v>33</v>
      </c>
      <c r="F6" s="12" t="s">
        <v>34</v>
      </c>
      <c r="G6" s="12">
        <v>120</v>
      </c>
    </row>
    <row r="7" spans="1:7" x14ac:dyDescent="0.3">
      <c r="A7" s="12" t="s">
        <v>35</v>
      </c>
      <c r="B7" s="13" t="s">
        <v>36</v>
      </c>
      <c r="C7" s="13" t="s">
        <v>37</v>
      </c>
      <c r="D7" s="13" t="s">
        <v>10</v>
      </c>
      <c r="E7" s="13" t="s">
        <v>38</v>
      </c>
      <c r="F7" s="12" t="s">
        <v>39</v>
      </c>
      <c r="G7" s="12">
        <v>160</v>
      </c>
    </row>
    <row r="8" spans="1:7" x14ac:dyDescent="0.3">
      <c r="A8" s="12" t="s">
        <v>40</v>
      </c>
      <c r="B8" s="13" t="s">
        <v>41</v>
      </c>
      <c r="C8" s="13" t="s">
        <v>9</v>
      </c>
      <c r="D8" s="13" t="s">
        <v>21</v>
      </c>
      <c r="E8" s="13" t="s">
        <v>16</v>
      </c>
      <c r="F8" s="12" t="s">
        <v>42</v>
      </c>
      <c r="G8" s="12">
        <v>160</v>
      </c>
    </row>
    <row r="9" spans="1:7" x14ac:dyDescent="0.3">
      <c r="A9" s="12" t="s">
        <v>43</v>
      </c>
      <c r="B9" s="13" t="s">
        <v>44</v>
      </c>
      <c r="C9" s="13" t="s">
        <v>45</v>
      </c>
      <c r="D9" s="13" t="s">
        <v>46</v>
      </c>
      <c r="E9" s="13" t="s">
        <v>11</v>
      </c>
      <c r="F9" s="12" t="s">
        <v>47</v>
      </c>
      <c r="G9" s="12">
        <v>80</v>
      </c>
    </row>
  </sheetData>
  <sheetProtection algorithmName="SHA-512" hashValue="a7Pr6v4TnuUoaACLP2KZn1Thi1Q4GijsTInjZrP4m3NXCjVf/f4F136xWFEBod+SlO23uh6tp7od8zUOk6l9Gw==" saltValue="bI70GS+bnPAJC3Wg9C7joA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Dashboard Horas</vt:lpstr>
      <vt:lpstr>Cuadrante Mensual</vt:lpstr>
      <vt:lpstr>Registro de Turnos</vt:lpstr>
      <vt:lpstr>Plantilla Empleados</vt:lpstr>
      <vt:lpstr>'Dashboard Horas'!Área_de_impresión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cp:lastPrinted>2026-09-13T14:52:41Z</cp:lastPrinted>
  <dcterms:created xsi:type="dcterms:W3CDTF">2026-09-13T12:57:07Z</dcterms:created>
  <dcterms:modified xsi:type="dcterms:W3CDTF">2026-09-13T15:27:05Z</dcterms:modified>
</cp:coreProperties>
</file>