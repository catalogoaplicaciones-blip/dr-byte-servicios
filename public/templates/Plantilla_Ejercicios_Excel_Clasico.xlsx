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Operaciones_Parentesis" sheetId="2" state="visible" r:id="rId2"/>
    <sheet xmlns:r="http://schemas.openxmlformats.org/officeDocument/2006/relationships" name="02_Matematicas_Estadistica" sheetId="3" state="visible" r:id="rId3"/>
    <sheet xmlns:r="http://schemas.openxmlformats.org/officeDocument/2006/relationships" name="03_Conteo_Suma_Condicional" sheetId="4" state="visible" r:id="rId4"/>
    <sheet xmlns:r="http://schemas.openxmlformats.org/officeDocument/2006/relationships" name="04_Logica_SI" sheetId="5" state="visible" r:id="rId5"/>
    <sheet xmlns:r="http://schemas.openxmlformats.org/officeDocument/2006/relationships" name="05_Busqueda_BUSCARV" sheetId="6" state="visible" r:id="rId6"/>
    <sheet xmlns:r="http://schemas.openxmlformats.org/officeDocument/2006/relationships" name="06_Texto_Fechas" sheetId="7" state="visible" r:id="rId7"/>
    <sheet xmlns:r="http://schemas.openxmlformats.org/officeDocument/2006/relationships" name="SOLUCIONES_MODEL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 €"/>
    <numFmt numFmtId="166" formatCode="#,##0 €"/>
    <numFmt numFmtId="167" formatCode="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EF08A"/>
      <sz val="10"/>
    </font>
    <font>
      <name val="Segoe UI"/>
      <b val="1"/>
      <color rgb="000F172A"/>
      <sz val="11"/>
    </font>
    <font>
      <name val="Segoe UI"/>
      <color rgb="001E293B"/>
      <sz val="10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i val="1"/>
      <color rgb="0064748B"/>
      <sz val="9"/>
    </font>
    <font>
      <name val="Consolas"/>
      <b val="1"/>
      <color rgb="000369A1"/>
      <sz val="10"/>
    </font>
  </fonts>
  <fills count="15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0B5A2E"/>
        <bgColor rgb="000B5A2E"/>
      </patternFill>
    </fill>
    <fill>
      <patternFill patternType="solid">
        <fgColor rgb="00E2E8F0"/>
        <bgColor rgb="00E2E8F0"/>
      </patternFill>
    </fill>
    <fill>
      <patternFill patternType="solid">
        <fgColor rgb="000284C7"/>
        <bgColor rgb="000284C7"/>
      </patternFill>
    </fill>
    <fill>
      <patternFill patternType="solid">
        <fgColor rgb="001E293B"/>
        <bgColor rgb="001E293B"/>
      </patternFill>
    </fill>
    <fill>
      <patternFill patternType="solid">
        <fgColor rgb="00FEF9C3"/>
        <bgColor rgb="00FEF9C3"/>
      </patternFill>
    </fill>
    <fill>
      <patternFill patternType="solid">
        <fgColor rgb="000D9488"/>
        <bgColor rgb="000D9488"/>
      </patternFill>
    </fill>
    <fill>
      <patternFill patternType="solid">
        <fgColor rgb="00D97706"/>
        <bgColor rgb="00D97706"/>
      </patternFill>
    </fill>
    <fill>
      <patternFill patternType="solid">
        <fgColor rgb="007C3AED"/>
        <bgColor rgb="007C3AED"/>
      </patternFill>
    </fill>
    <fill>
      <patternFill patternType="solid">
        <fgColor rgb="001D4ED8"/>
        <bgColor rgb="001D4ED8"/>
      </patternFill>
    </fill>
    <fill>
      <patternFill patternType="solid">
        <fgColor rgb="00F1F5F9"/>
        <bgColor rgb="00F1F5F9"/>
      </patternFill>
    </fill>
    <fill>
      <patternFill patternType="solid">
        <fgColor rgb="00EA580C"/>
        <bgColor rgb="00EA580C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6" borderId="0" applyAlignment="1" pivotButton="0" quotePrefix="0" xfId="0">
      <alignment horizontal="center" vertical="center"/>
    </xf>
    <xf numFmtId="49" fontId="7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6" fillId="5" borderId="0" applyAlignment="1" pivotButton="0" quotePrefix="0" xfId="0">
      <alignment horizontal="center" vertical="center"/>
    </xf>
    <xf numFmtId="49" fontId="8" fillId="0" borderId="0" pivotButton="0" quotePrefix="0" xfId="0"/>
    <xf numFmtId="164" fontId="6" fillId="2" borderId="0" pivotButton="0" quotePrefix="0" xfId="0"/>
    <xf numFmtId="49" fontId="4" fillId="0" borderId="0" pivotButton="0" quotePrefix="0" xfId="0"/>
    <xf numFmtId="165" fontId="0" fillId="0" borderId="0" pivotButton="0" quotePrefix="0" xfId="0"/>
    <xf numFmtId="165" fontId="0" fillId="7" borderId="0" pivotButton="0" quotePrefix="0" xfId="0"/>
    <xf numFmtId="49" fontId="0" fillId="0" borderId="0" pivotButton="0" quotePrefix="0" xfId="0"/>
    <xf numFmtId="0" fontId="0" fillId="7" borderId="0" pivotButton="0" quotePrefix="0" xfId="0"/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66" fontId="0" fillId="7" borderId="0" pivotButton="0" quotePrefix="0" xfId="0"/>
    <xf numFmtId="4" fontId="0" fillId="7" borderId="0" pivotButton="0" quotePrefix="0" xfId="0"/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49" fontId="9" fillId="0" borderId="0" pivotButton="0" quotePrefix="0" xfId="0"/>
    <xf numFmtId="0" fontId="5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67" fontId="0" fillId="0" borderId="0" pivotButton="0" quotePrefix="0" xfId="0"/>
    <xf numFmtId="0" fontId="5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49" fontId="7" fillId="12" borderId="0" pivotButton="0" quotePrefix="0" xfId="0"/>
    <xf numFmtId="0" fontId="5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5" fillId="14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  <dxf>
      <font>
        <name val="Segoe UI"/>
        <i val="1"/>
        <color rgb="0064748B"/>
        <sz val="10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C41"/>
    <outlinePr summaryBelow="1" summaryRight="1"/>
    <pageSetUpPr/>
  </sheetPr>
  <dimension ref="B2:J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6" customHeight="1">
      <c r="B2" s="1" t="inlineStr">
        <is>
          <t>CURSO DE EXCEL CLÁSICO · Dr.byte</t>
        </is>
      </c>
    </row>
    <row r="3" ht="24" customHeight="1">
      <c r="B3" s="2" t="inlineStr">
        <is>
          <t>Creado por Manuel Aragonés · Tel: 34 607353910 · Cuaderno de Prácticas 100% Sincronizado con el PDF</t>
        </is>
      </c>
    </row>
    <row r="5">
      <c r="B5" s="3" t="inlineStr">
        <is>
          <t>¿CÓMO USAR ESTA PLANTILLA JUNTO AL PDF?</t>
        </is>
      </c>
    </row>
    <row r="6">
      <c r="B6" s="4" t="inlineStr">
        <is>
          <t>1. Abre a la vez el documento PDF 'Curso_Excel_Clasico_Completo.pdf' y esta plantilla de Excel.</t>
        </is>
      </c>
    </row>
    <row r="7">
      <c r="B7" s="4" t="inlineStr">
        <is>
          <t>2. Cada página del PDF corresponde exactamente a un ejercicio de este libro (indicado con el número y pestaña).</t>
        </is>
      </c>
    </row>
    <row r="8">
      <c r="B8" s="4" t="inlineStr">
        <is>
          <t>3. En el PDF tienes la explicación paso a paso de cómo construir la fórmula exacta para cada ejercicio.</t>
        </is>
      </c>
    </row>
    <row r="9">
      <c r="B9" s="4" t="inlineStr">
        <is>
          <t>4. En esta plantilla, escribe tu fórmula en las celdas de color AMARILLO CLARO.</t>
        </is>
      </c>
    </row>
    <row r="10">
      <c r="B10" s="4" t="inlineStr">
        <is>
          <t>5. La columna 'VALIDACIÓN' te marcará 'CORRECTO' en verde si lo has resuelto bien o 'REVISAR' en rojo si hay fallos.</t>
        </is>
      </c>
    </row>
    <row r="12">
      <c r="B12" s="3" t="inlineStr">
        <is>
          <t>MAPA DE LECCIONES DEL CURSO (18 LECCIONES PASO A PASO)</t>
        </is>
      </c>
    </row>
    <row r="13">
      <c r="B13" s="4" t="inlineStr">
        <is>
          <t>• Lecciones 01 a 04: Pestaña '01_Operaciones_Parentesis' (Operadores directos, PEMDAS, fijar con $ y ampersand &amp;).</t>
        </is>
      </c>
    </row>
    <row r="14">
      <c r="B14" s="4" t="inlineStr">
        <is>
          <t>• Lecciones 05 a 08: Pestaña '02_Matematicas_Estadistica' (SUMA, PROMEDIO, MAX/MIN y REDONDEAR).</t>
        </is>
      </c>
    </row>
    <row r="15">
      <c r="B15" s="4" t="inlineStr">
        <is>
          <t>• Lecciones 09 a 11: Pestaña '03_Conteo_Suma_Condicional' (CONTAR/CONTARA, CONTAR.SI y SUMAR.SI).</t>
        </is>
      </c>
    </row>
    <row r="16">
      <c r="B16" s="4" t="inlineStr">
        <is>
          <t>• Lecciones 12 a 14: Pestaña '04_Logica_SI' (SI simple, SI con Y/O y SI.ERROR).</t>
        </is>
      </c>
    </row>
    <row r="17">
      <c r="B17" s="4" t="inlineStr">
        <is>
          <t>• Lecciones 15 a 16: Pestaña '05_Busqueda_BUSCARV' (BUSCARV exacto y el combo ÍNDICE + COINCIDIR).</t>
        </is>
      </c>
    </row>
    <row r="18">
      <c r="B18" s="4" t="inlineStr">
        <is>
          <t>• Lecciones 17 a 18: Pestaña '06_Texto_Fechas' (Limpieza de textos y cálculo entre fechas).</t>
        </is>
      </c>
    </row>
    <row r="19">
      <c r="B19" s="4" t="inlineStr">
        <is>
          <t>• Pestaña 'SOLUCIONES_MODELO': Consulta de fórmulas resueltas si te quedas atascado.</t>
        </is>
      </c>
    </row>
  </sheetData>
  <mergeCells count="4">
    <mergeCell ref="B12:I12"/>
    <mergeCell ref="B5:I5"/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B2:I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34" customWidth="1" min="5" max="5"/>
    <col width="24" customWidth="1" min="6" max="6"/>
    <col width="18" customWidth="1" min="7" max="7"/>
    <col width="18" customWidth="1" min="8" max="8"/>
    <col width="55" customWidth="1" min="9" max="9"/>
  </cols>
  <sheetData>
    <row r="2" ht="36" customHeight="1">
      <c r="B2" s="5" t="inlineStr">
        <is>
          <t>MÓDULO 1: OPERACIONES MANUALES, PARÉNTESIS Y REFERENCIAS ($) · Dr.byte</t>
        </is>
      </c>
    </row>
    <row r="4">
      <c r="B4" s="6" t="inlineStr">
        <is>
          <t>LECCIÓN 01 · EJERCICIO 1.1: Operadores aritméticos directos (+, -, *, /, ^)</t>
        </is>
      </c>
    </row>
    <row r="6">
      <c r="B6" s="7" t="inlineStr">
        <is>
          <t>OPERACIÓN DESEADA</t>
        </is>
      </c>
      <c r="C6" s="7" t="inlineStr">
        <is>
          <t>VALOR A</t>
        </is>
      </c>
      <c r="D6" s="7" t="inlineStr">
        <is>
          <t>VALOR B</t>
        </is>
      </c>
      <c r="E6" s="7" t="inlineStr">
        <is>
          <t>TU FÓRMULA (Escribe aquí)</t>
        </is>
      </c>
      <c r="F6" s="7" t="inlineStr">
        <is>
          <t>RESULTADO ESPERADO</t>
        </is>
      </c>
      <c r="G6" s="7" t="inlineStr">
        <is>
          <t>VALIDACIÓN</t>
        </is>
      </c>
    </row>
    <row r="7">
      <c r="B7" s="8" t="inlineStr">
        <is>
          <t>Suma simple (=C7+D7)</t>
        </is>
      </c>
      <c r="C7" s="4" t="n">
        <v>450</v>
      </c>
      <c r="D7" s="4" t="n">
        <v>150</v>
      </c>
      <c r="E7" s="9" t="n"/>
      <c r="F7" s="10" t="n">
        <v>600</v>
      </c>
      <c r="G7" s="11">
        <f>IF(ISBLANK(E7), "PENDIENTE", IF(E7=F7, "CORRECTO", "REVISAR"))</f>
        <v/>
      </c>
    </row>
    <row r="8">
      <c r="B8" s="8" t="inlineStr">
        <is>
          <t>Resta simple (=C8-D8)</t>
        </is>
      </c>
      <c r="C8" s="4" t="n">
        <v>1200</v>
      </c>
      <c r="D8" s="4" t="n">
        <v>350</v>
      </c>
      <c r="E8" s="9" t="n"/>
      <c r="F8" s="10" t="n">
        <v>850</v>
      </c>
      <c r="G8" s="11">
        <f>IF(ISBLANK(E8), "PENDIENTE", IF(E8=F8, "CORRECTO", "REVISAR"))</f>
        <v/>
      </c>
    </row>
    <row r="9">
      <c r="B9" s="8" t="inlineStr">
        <is>
          <t>Multiplicación (=C9*D9)</t>
        </is>
      </c>
      <c r="C9" s="4" t="n">
        <v>45</v>
      </c>
      <c r="D9" s="4" t="n">
        <v>12</v>
      </c>
      <c r="E9" s="9" t="n"/>
      <c r="F9" s="10" t="n">
        <v>540</v>
      </c>
      <c r="G9" s="11">
        <f>IF(ISBLANK(E9), "PENDIENTE", IF(E9=F9, "CORRECTO", "REVISAR"))</f>
        <v/>
      </c>
    </row>
    <row r="10">
      <c r="B10" s="8" t="inlineStr">
        <is>
          <t>División (=C10/D10)</t>
        </is>
      </c>
      <c r="C10" s="4" t="n">
        <v>1500</v>
      </c>
      <c r="D10" s="4" t="n">
        <v>5</v>
      </c>
      <c r="E10" s="9" t="n"/>
      <c r="F10" s="10" t="n">
        <v>300</v>
      </c>
      <c r="G10" s="11">
        <f>IF(ISBLANK(E10), "PENDIENTE", IF(E10=F10, "CORRECTO", "REVISAR"))</f>
        <v/>
      </c>
    </row>
    <row r="11">
      <c r="B11" s="8" t="inlineStr">
        <is>
          <t>Potencia al cuadrado (=C11^D11)</t>
        </is>
      </c>
      <c r="C11" s="4" t="n">
        <v>8</v>
      </c>
      <c r="D11" s="4" t="n">
        <v>2</v>
      </c>
      <c r="E11" s="9" t="n"/>
      <c r="F11" s="10" t="n">
        <v>64</v>
      </c>
      <c r="G11" s="11">
        <f>IF(ISBLANK(E11), "PENDIENTE", IF(E11=F11, "CORRECTO", "REVISAR"))</f>
        <v/>
      </c>
    </row>
    <row r="14">
      <c r="B14" s="6" t="inlineStr">
        <is>
          <t>LECCIÓN 02 · EJERCICIO 1.2: Los paréntesis ( ) y la jerarquía de cálculo (PEMDAS)</t>
        </is>
      </c>
    </row>
    <row r="16">
      <c r="B16" s="12" t="inlineStr">
        <is>
          <t>CASO</t>
        </is>
      </c>
      <c r="C16" s="12" t="inlineStr">
        <is>
          <t>BASE</t>
        </is>
      </c>
      <c r="D16" s="12" t="inlineStr">
        <is>
          <t>EXTRA</t>
        </is>
      </c>
      <c r="E16" s="12" t="inlineStr">
        <is>
          <t>MULTIPLICADOR</t>
        </is>
      </c>
      <c r="F16" s="12" t="inlineStr">
        <is>
          <t>TU FÓRMULA</t>
        </is>
      </c>
      <c r="G16" s="12" t="inlineStr">
        <is>
          <t>RESULTADO ESPERADO</t>
        </is>
      </c>
      <c r="H16" s="12" t="inlineStr">
        <is>
          <t>VALIDACIÓN</t>
        </is>
      </c>
      <c r="I16" s="12" t="inlineStr">
        <is>
          <t>EXPLICACIÓN</t>
        </is>
      </c>
    </row>
    <row r="17">
      <c r="B17" s="8" t="inlineStr">
        <is>
          <t>SIN Paréntesis (=C17+D17*E17)</t>
        </is>
      </c>
      <c r="C17" s="4" t="n">
        <v>100</v>
      </c>
      <c r="D17" s="4" t="n">
        <v>20</v>
      </c>
      <c r="E17" s="4" t="n">
        <v>3</v>
      </c>
      <c r="F17" s="9" t="n"/>
      <c r="G17" s="10" t="n">
        <v>160</v>
      </c>
      <c r="H17" s="11">
        <f>IF(ISBLANK(F17), "PENDIENTE", IF(F17=G17, "CORRECTO", "REVISAR"))</f>
        <v/>
      </c>
      <c r="I17" s="13" t="inlineStr">
        <is>
          <t>Multiplica primero (20*3=60) y luego suma 100.</t>
        </is>
      </c>
    </row>
    <row r="18">
      <c r="B18" s="8" t="inlineStr">
        <is>
          <t>CON Paréntesis (=(C18+D18)*E18)</t>
        </is>
      </c>
      <c r="C18" s="4" t="n">
        <v>100</v>
      </c>
      <c r="D18" s="4" t="n">
        <v>20</v>
      </c>
      <c r="E18" s="4" t="n">
        <v>3</v>
      </c>
      <c r="F18" s="9" t="n"/>
      <c r="G18" s="10" t="n">
        <v>360</v>
      </c>
      <c r="H18" s="11">
        <f>IF(ISBLANK(F18), "PENDIENTE", IF(F18=G18, "CORRECTO", "REVISAR"))</f>
        <v/>
      </c>
      <c r="I18" s="13" t="inlineStr">
        <is>
          <t>Suma primero (100+20=120) y luego multiplica por 3.</t>
        </is>
      </c>
    </row>
    <row r="21">
      <c r="B21" s="6" t="inlineStr">
        <is>
          <t>LECCIÓN 03 · EJERCICIO 1.3: Fijar celdas con el signo dólar ($) al arrastrar fórmulas (F4)</t>
        </is>
      </c>
    </row>
    <row r="23">
      <c r="C23" s="8" t="inlineStr">
        <is>
          <t>TIPO IVA FIJO:</t>
        </is>
      </c>
      <c r="D23" s="14" t="n">
        <v>0.21</v>
      </c>
    </row>
    <row r="25">
      <c r="B25" s="7" t="inlineStr">
        <is>
          <t>ARTÍCULO</t>
        </is>
      </c>
      <c r="C25" s="7" t="inlineStr">
        <is>
          <t>IMPORTE NETO</t>
        </is>
      </c>
      <c r="D25" s="7" t="inlineStr">
        <is>
          <t>IVA 21% (=C26*$D$23)</t>
        </is>
      </c>
      <c r="E25" s="7" t="inlineStr">
        <is>
          <t>TOTAL NETO + IVA</t>
        </is>
      </c>
      <c r="F25" s="7" t="inlineStr">
        <is>
          <t>VALIDACIÓN</t>
        </is>
      </c>
    </row>
    <row r="26">
      <c r="B26" s="15" t="inlineStr">
        <is>
          <t>Monitor 27 Pulgadas</t>
        </is>
      </c>
      <c r="C26" s="16" t="n">
        <v>250</v>
      </c>
      <c r="D26" s="17" t="n"/>
      <c r="E26" s="17" t="n"/>
      <c r="F26" s="11">
        <f>IF(ISBLANK(D26), "PENDIENTE", IF(ROUND(D26,2)=ROUND(C26*$D$23,2), "CORRECTO", "REVISAR"))</f>
        <v/>
      </c>
    </row>
    <row r="27">
      <c r="B27" s="15" t="inlineStr">
        <is>
          <t>Teclado Mecánico</t>
        </is>
      </c>
      <c r="C27" s="16" t="n">
        <v>80</v>
      </c>
      <c r="D27" s="17" t="n"/>
      <c r="E27" s="17" t="n"/>
      <c r="F27" s="11">
        <f>IF(ISBLANK(D27), "PENDIENTE", IF(ROUND(D27,2)=ROUND(C27*$D$23,2), "CORRECTO", "REVISAR"))</f>
        <v/>
      </c>
    </row>
    <row r="28">
      <c r="B28" s="15" t="inlineStr">
        <is>
          <t>Ratón Ergonómico</t>
        </is>
      </c>
      <c r="C28" s="16" t="n">
        <v>45</v>
      </c>
      <c r="D28" s="17" t="n"/>
      <c r="E28" s="17" t="n"/>
      <c r="F28" s="11">
        <f>IF(ISBLANK(D28), "PENDIENTE", IF(ROUND(D28,2)=ROUND(C28*$D$23,2), "CORRECTO", "REVISAR"))</f>
        <v/>
      </c>
    </row>
    <row r="29">
      <c r="B29" s="15" t="inlineStr">
        <is>
          <t>Auriculares Pro</t>
        </is>
      </c>
      <c r="C29" s="16" t="n">
        <v>120</v>
      </c>
      <c r="D29" s="17" t="n"/>
      <c r="E29" s="17" t="n"/>
      <c r="F29" s="11">
        <f>IF(ISBLANK(D29), "PENDIENTE", IF(ROUND(D29,2)=ROUND(C29*$D$23,2), "CORRECTO", "REVISAR"))</f>
        <v/>
      </c>
    </row>
    <row r="32">
      <c r="B32" s="6" t="inlineStr">
        <is>
          <t>LECCIÓN 04 · EJERCICIO 1.4: Unir textos y celdas con el signo Ampersand (&amp;)</t>
        </is>
      </c>
    </row>
    <row r="33">
      <c r="B33" s="12" t="inlineStr">
        <is>
          <t>TEXTO A (Nombre)</t>
        </is>
      </c>
      <c r="C33" s="12" t="inlineStr">
        <is>
          <t>TEXTO B (Ciudad)</t>
        </is>
      </c>
      <c r="D33" s="12" t="inlineStr">
        <is>
          <t>TU FÓRMULA (=B34 &amp; " vive en " &amp; C34)</t>
        </is>
      </c>
      <c r="E33" s="12" t="inlineStr">
        <is>
          <t>RESULTADO ESPERADO</t>
        </is>
      </c>
      <c r="F33" s="12" t="inlineStr">
        <is>
          <t>VALIDACIÓN</t>
        </is>
      </c>
    </row>
    <row r="34">
      <c r="B34" s="18" t="inlineStr">
        <is>
          <t>Carlos</t>
        </is>
      </c>
      <c r="C34" s="18" t="inlineStr">
        <is>
          <t>Madrid</t>
        </is>
      </c>
      <c r="D34" s="19" t="n"/>
      <c r="E34" s="13" t="inlineStr">
        <is>
          <t>Carlos vive en Madrid</t>
        </is>
      </c>
      <c r="F34" s="11">
        <f>IF(ISBLANK(D34), "PENDIENTE", IF(TRIM(D34)="Carlos vive en Madrid", "CORRECTO", "REVISAR"))</f>
        <v/>
      </c>
    </row>
    <row r="35">
      <c r="B35" s="18" t="inlineStr">
        <is>
          <t>Elena</t>
        </is>
      </c>
      <c r="C35" s="18" t="inlineStr">
        <is>
          <t>Barcelona</t>
        </is>
      </c>
      <c r="D35" s="19" t="n"/>
      <c r="E35" s="13" t="inlineStr">
        <is>
          <t>Elena vive en Barcelona</t>
        </is>
      </c>
      <c r="F35" s="11">
        <f>IF(ISBLANK(D35), "PENDIENTE", IF(TRIM(D35)="Elena vive en Barcelona", "CORRECTO", "REVISAR"))</f>
        <v/>
      </c>
    </row>
  </sheetData>
  <mergeCells count="1">
    <mergeCell ref="B2:I2"/>
  </mergeCells>
  <conditionalFormatting sqref="E6:H40">
    <cfRule type="cellIs" priority="1" operator="equal" dxfId="0" stopIfTrue="1">
      <formula>"CORRECTO"</formula>
    </cfRule>
    <cfRule type="cellIs" priority="2" operator="equal" dxfId="1" stopIfTrue="1">
      <formula>"REVISAR"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B2:H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34" customWidth="1" min="3" max="3"/>
    <col width="24" customWidth="1" min="4" max="4"/>
    <col width="20" customWidth="1" min="5" max="5"/>
    <col width="20" customWidth="1" min="6" max="6"/>
    <col width="20" customWidth="1" min="7" max="7"/>
    <col width="24" customWidth="1" min="8" max="8"/>
  </cols>
  <sheetData>
    <row r="2" ht="36" customHeight="1">
      <c r="B2" s="20" t="inlineStr">
        <is>
          <t>MÓDULO 2: FUNCIONES MATEMÁTICAS (SUMA, PROMEDIO, MAX, MIN, REDONDEAR) · Dr.byte</t>
        </is>
      </c>
    </row>
    <row r="4">
      <c r="B4" s="6" t="inlineStr">
        <is>
          <t>TABLA DE VENTAS DEL EQUIPO COMERCIAL (DATOS BASE PARA LECCIONES 05 A 08):</t>
        </is>
      </c>
    </row>
    <row r="5">
      <c r="B5" s="21" t="inlineStr">
        <is>
          <t>ID</t>
        </is>
      </c>
      <c r="C5" s="21" t="inlineStr">
        <is>
          <t>COMERCIAL</t>
        </is>
      </c>
      <c r="D5" s="21" t="inlineStr">
        <is>
          <t>SECTOR</t>
        </is>
      </c>
      <c r="E5" s="21" t="inlineStr">
        <is>
          <t>ENERO (€)</t>
        </is>
      </c>
      <c r="F5" s="21" t="inlineStr">
        <is>
          <t>FEBRERO (€)</t>
        </is>
      </c>
      <c r="G5" s="21" t="inlineStr">
        <is>
          <t>MARZO (€)</t>
        </is>
      </c>
      <c r="H5" s="21" t="inlineStr">
        <is>
          <t>TOTAL TRIMESTRE</t>
        </is>
      </c>
    </row>
    <row r="6">
      <c r="B6" s="22" t="n">
        <v>101</v>
      </c>
      <c r="C6" s="8" t="inlineStr">
        <is>
          <t>Carlos Martín</t>
        </is>
      </c>
      <c r="D6" s="15" t="inlineStr">
        <is>
          <t>Tecnología</t>
        </is>
      </c>
      <c r="E6" s="23" t="n">
        <v>14500</v>
      </c>
      <c r="F6" s="23" t="n">
        <v>16200</v>
      </c>
      <c r="G6" s="23" t="n">
        <v>15800</v>
      </c>
      <c r="H6" s="24" t="n"/>
    </row>
    <row r="7">
      <c r="B7" s="22" t="n">
        <v>102</v>
      </c>
      <c r="C7" s="8" t="inlineStr">
        <is>
          <t>Elena Gómez</t>
        </is>
      </c>
      <c r="D7" s="15" t="inlineStr">
        <is>
          <t>Salud</t>
        </is>
      </c>
      <c r="E7" s="23" t="n">
        <v>9800</v>
      </c>
      <c r="F7" s="23" t="n">
        <v>11400</v>
      </c>
      <c r="G7" s="23" t="n">
        <v>10500</v>
      </c>
      <c r="H7" s="24" t="n"/>
    </row>
    <row r="8">
      <c r="B8" s="22" t="n">
        <v>103</v>
      </c>
      <c r="C8" s="8" t="inlineStr">
        <is>
          <t>Marcos Ruiz</t>
        </is>
      </c>
      <c r="D8" s="15" t="inlineStr">
        <is>
          <t>Educación</t>
        </is>
      </c>
      <c r="E8" s="23" t="n">
        <v>12300</v>
      </c>
      <c r="F8" s="23" t="n">
        <v>13100</v>
      </c>
      <c r="G8" s="23" t="n">
        <v>14200</v>
      </c>
      <c r="H8" s="24" t="n"/>
    </row>
    <row r="9">
      <c r="B9" s="22" t="n">
        <v>104</v>
      </c>
      <c r="C9" s="8" t="inlineStr">
        <is>
          <t>Laura Torres</t>
        </is>
      </c>
      <c r="D9" s="15" t="inlineStr">
        <is>
          <t>Tecnología</t>
        </is>
      </c>
      <c r="E9" s="23" t="n">
        <v>18500</v>
      </c>
      <c r="F9" s="23" t="n">
        <v>19200</v>
      </c>
      <c r="G9" s="23" t="n">
        <v>21000</v>
      </c>
      <c r="H9" s="24" t="n"/>
    </row>
    <row r="10">
      <c r="B10" s="22" t="n">
        <v>105</v>
      </c>
      <c r="C10" s="8" t="inlineStr">
        <is>
          <t>Javier Sanz</t>
        </is>
      </c>
      <c r="D10" s="15" t="inlineStr">
        <is>
          <t>Industria</t>
        </is>
      </c>
      <c r="E10" s="23" t="n">
        <v>7400</v>
      </c>
      <c r="F10" s="23" t="n">
        <v>8900</v>
      </c>
      <c r="G10" s="23" t="n">
        <v>8100</v>
      </c>
      <c r="H10" s="24" t="n"/>
    </row>
    <row r="11">
      <c r="B11" s="22" t="n">
        <v>106</v>
      </c>
      <c r="C11" s="8" t="inlineStr">
        <is>
          <t>Sara Morales</t>
        </is>
      </c>
      <c r="D11" s="15" t="inlineStr">
        <is>
          <t>Salud</t>
        </is>
      </c>
      <c r="E11" s="23" t="n">
        <v>15600</v>
      </c>
      <c r="F11" s="23" t="n">
        <v>14900</v>
      </c>
      <c r="G11" s="23" t="n">
        <v>16300</v>
      </c>
      <c r="H11" s="24" t="n"/>
    </row>
    <row r="14">
      <c r="B14" s="6" t="inlineStr">
        <is>
          <t>EJERCICIOS Y RETOS ESTADÍSTICOS (LECCIONES 05 A 08 DEL PDF):</t>
        </is>
      </c>
    </row>
    <row r="15">
      <c r="B15" s="7" t="inlineStr">
        <is>
          <t>LECCIÓN Y RETO ASOCIADO AL PDF</t>
        </is>
      </c>
      <c r="C15" s="7" t="inlineStr">
        <is>
          <t>TU FÓRMULA (Escribe en amarillo)</t>
        </is>
      </c>
      <c r="D15" s="7" t="inlineStr">
        <is>
          <t>RESULTADO ESPERADO</t>
        </is>
      </c>
      <c r="E15" s="7" t="inlineStr">
        <is>
          <t>VALIDACIÓN</t>
        </is>
      </c>
      <c r="F15" s="7" t="inlineStr">
        <is>
          <t>PISTA TÉCNICA</t>
        </is>
      </c>
    </row>
    <row r="16">
      <c r="B16" s="8" t="inlineStr">
        <is>
          <t>LECCIÓN 05: SUMA TOTAL TRIMESTRE DEL EQUIPO</t>
        </is>
      </c>
      <c r="C16" s="25" t="n"/>
      <c r="D16" s="10" t="n">
        <v>247700</v>
      </c>
      <c r="E16" s="11">
        <f>IF(ISBLANK(C16), "PENDIENTE", IF(ROUND(C16,0)=ROUND(D16,0), "CORRECTO", "REVISAR"))</f>
        <v/>
      </c>
      <c r="F16" s="13" t="inlineStr">
        <is>
          <t>Aplica =SUMA(E6:G11) sobre todas las ventas del trimestre</t>
        </is>
      </c>
    </row>
    <row r="17">
      <c r="B17" s="8" t="inlineStr">
        <is>
          <t>LECCIÓN 06: PROMEDIO DE VENTAS EN ENERO</t>
        </is>
      </c>
      <c r="C17" s="25" t="n"/>
      <c r="D17" s="10" t="n">
        <v>13016.67</v>
      </c>
      <c r="E17" s="11">
        <f>IF(ISBLANK(C17), "PENDIENTE", IF(ROUND(C17,0)=ROUND(D17,0), "CORRECTO", "REVISAR"))</f>
        <v/>
      </c>
      <c r="F17" s="13" t="inlineStr">
        <is>
          <t>Aplica =PROMEDIO(E6:E11) sobre la columna Enero</t>
        </is>
      </c>
    </row>
    <row r="18">
      <c r="B18" s="8" t="inlineStr">
        <is>
          <t>LECCIÓN 07A: MEJOR VENTA DE MARZO (MÁXIMO)</t>
        </is>
      </c>
      <c r="C18" s="25" t="n"/>
      <c r="D18" s="10" t="n">
        <v>21000</v>
      </c>
      <c r="E18" s="11">
        <f>IF(ISBLANK(C18), "PENDIENTE", IF(ROUND(C18,0)=ROUND(D18,0), "CORRECTO", "REVISAR"))</f>
        <v/>
      </c>
      <c r="F18" s="13" t="inlineStr">
        <is>
          <t>Aplica =MAX(G6:G11) sobre Marzo</t>
        </is>
      </c>
    </row>
    <row r="19">
      <c r="B19" s="8" t="inlineStr">
        <is>
          <t>LECCIÓN 07B: PEOR VENTA DE FEBRERO (MÍNIMO)</t>
        </is>
      </c>
      <c r="C19" s="25" t="n"/>
      <c r="D19" s="10" t="n">
        <v>8900</v>
      </c>
      <c r="E19" s="11">
        <f>IF(ISBLANK(C19), "PENDIENTE", IF(ROUND(C19,0)=ROUND(D19,0), "CORRECTO", "REVISAR"))</f>
        <v/>
      </c>
      <c r="F19" s="13" t="inlineStr">
        <is>
          <t>Aplica =MIN(F6:F11) sobre Febrero</t>
        </is>
      </c>
    </row>
    <row r="20">
      <c r="B20" s="8" t="inlineStr">
        <is>
          <t>LECCIÓN 08: PROMEDIO REDONDEADO A 0 DECIMALES</t>
        </is>
      </c>
      <c r="C20" s="25" t="n"/>
      <c r="D20" s="10" t="n">
        <v>13017</v>
      </c>
      <c r="E20" s="11">
        <f>IF(ISBLANK(C20), "PENDIENTE", IF(ROUND(C20,0)=ROUND(D20,0), "CORRECTO", "REVISAR"))</f>
        <v/>
      </c>
      <c r="F20" s="13" t="inlineStr">
        <is>
          <t>Combina =REDONDEAR(PROMEDIO(E6:E11); 0)</t>
        </is>
      </c>
    </row>
  </sheetData>
  <mergeCells count="1">
    <mergeCell ref="B2:H2"/>
  </mergeCells>
  <conditionalFormatting sqref="E6:H40">
    <cfRule type="cellIs" priority="1" operator="equal" dxfId="0" stopIfTrue="1">
      <formula>"CORRECTO"</formula>
    </cfRule>
    <cfRule type="cellIs" priority="2" operator="equal" dxfId="1" stopIfTrue="1">
      <formula>"REVISAR"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B2:H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34" customWidth="1" min="3" max="3"/>
    <col width="22" customWidth="1" min="4" max="4"/>
    <col width="18" customWidth="1" min="5" max="5"/>
    <col width="22" customWidth="1" min="6" max="6"/>
    <col width="54" customWidth="1" min="7" max="7"/>
  </cols>
  <sheetData>
    <row r="2" ht="36" customHeight="1">
      <c r="B2" s="26" t="inlineStr">
        <is>
          <t>MÓDULO 3: CONTAR, CONTARA, CONTAR.SI Y SUMAR.SI · Dr.byte</t>
        </is>
      </c>
    </row>
    <row r="4">
      <c r="B4" s="6" t="inlineStr">
        <is>
          <t>REGISTRO DE ENVÍOS Y PEDIDOS (DATOS BASE PARA LECCIONES 09 A 11):</t>
        </is>
      </c>
    </row>
    <row r="5">
      <c r="B5" s="27" t="inlineStr">
        <is>
          <t>PEDIDO</t>
        </is>
      </c>
      <c r="C5" s="27" t="inlineStr">
        <is>
          <t>CLIENTE</t>
        </is>
      </c>
      <c r="D5" s="27" t="inlineStr">
        <is>
          <t>CIUDAD</t>
        </is>
      </c>
      <c r="E5" s="27" t="inlineStr">
        <is>
          <t>ESTADO</t>
        </is>
      </c>
      <c r="F5" s="27" t="inlineStr">
        <is>
          <t>IMPORTE (€)</t>
        </is>
      </c>
      <c r="G5" s="27" t="inlineStr">
        <is>
          <t>DÍAS ENTREGA</t>
        </is>
      </c>
    </row>
    <row r="6">
      <c r="B6" s="28" t="inlineStr">
        <is>
          <t>PED-01</t>
        </is>
      </c>
      <c r="C6" s="8" t="inlineStr">
        <is>
          <t>Acme Corp</t>
        </is>
      </c>
      <c r="D6" s="18" t="inlineStr">
        <is>
          <t>Madrid</t>
        </is>
      </c>
      <c r="E6" s="18" t="inlineStr">
        <is>
          <t>Entregado</t>
        </is>
      </c>
      <c r="F6" s="23" t="n">
        <v>1250</v>
      </c>
      <c r="G6" s="22" t="n">
        <v>2</v>
      </c>
    </row>
    <row r="7">
      <c r="B7" s="28" t="inlineStr">
        <is>
          <t>PED-02</t>
        </is>
      </c>
      <c r="C7" s="8" t="inlineStr">
        <is>
          <t>Nova Tech</t>
        </is>
      </c>
      <c r="D7" s="18" t="inlineStr">
        <is>
          <t>Barcelona</t>
        </is>
      </c>
      <c r="E7" s="18" t="inlineStr">
        <is>
          <t>Entregado</t>
        </is>
      </c>
      <c r="F7" s="23" t="n">
        <v>840</v>
      </c>
      <c r="G7" s="22" t="n">
        <v>3</v>
      </c>
    </row>
    <row r="8">
      <c r="B8" s="28" t="inlineStr">
        <is>
          <t>PED-03</t>
        </is>
      </c>
      <c r="C8" s="8" t="inlineStr">
        <is>
          <t>Global Sol</t>
        </is>
      </c>
      <c r="D8" s="18" t="inlineStr">
        <is>
          <t>Valencia</t>
        </is>
      </c>
      <c r="E8" s="18" t="inlineStr">
        <is>
          <t>Pendiente</t>
        </is>
      </c>
      <c r="F8" s="23" t="n">
        <v>2100</v>
      </c>
    </row>
    <row r="9">
      <c r="B9" s="28" t="inlineStr">
        <is>
          <t>PED-04</t>
        </is>
      </c>
      <c r="C9" s="8" t="inlineStr">
        <is>
          <t>Bio Salud</t>
        </is>
      </c>
      <c r="D9" s="18" t="inlineStr">
        <is>
          <t>Madrid</t>
        </is>
      </c>
      <c r="E9" s="18" t="inlineStr">
        <is>
          <t>Entregado</t>
        </is>
      </c>
      <c r="F9" s="23" t="n">
        <v>950</v>
      </c>
      <c r="G9" s="22" t="n">
        <v>1</v>
      </c>
    </row>
    <row r="10">
      <c r="B10" s="28" t="inlineStr">
        <is>
          <t>PED-05</t>
        </is>
      </c>
      <c r="C10" s="8" t="inlineStr">
        <is>
          <t>Data Red</t>
        </is>
      </c>
      <c r="D10" s="18" t="inlineStr">
        <is>
          <t>Sevilla</t>
        </is>
      </c>
      <c r="E10" s="18" t="inlineStr">
        <is>
          <t>Cancelado</t>
        </is>
      </c>
      <c r="F10" s="23" t="n">
        <v>450</v>
      </c>
    </row>
    <row r="11">
      <c r="B11" s="28" t="inlineStr">
        <is>
          <t>PED-06</t>
        </is>
      </c>
      <c r="C11" s="8" t="inlineStr">
        <is>
          <t>Soluciones X</t>
        </is>
      </c>
      <c r="D11" s="18" t="inlineStr">
        <is>
          <t>Madrid</t>
        </is>
      </c>
      <c r="E11" s="18" t="inlineStr">
        <is>
          <t>Entregado</t>
        </is>
      </c>
      <c r="F11" s="23" t="n">
        <v>3200</v>
      </c>
      <c r="G11" s="22" t="n">
        <v>2</v>
      </c>
    </row>
    <row r="12">
      <c r="B12" s="28" t="inlineStr">
        <is>
          <t>PED-07</t>
        </is>
      </c>
      <c r="C12" s="8" t="inlineStr">
        <is>
          <t>Logística Y</t>
        </is>
      </c>
      <c r="D12" s="18" t="inlineStr">
        <is>
          <t>Barcelona</t>
        </is>
      </c>
      <c r="E12" s="18" t="inlineStr">
        <is>
          <t>Pendiente</t>
        </is>
      </c>
      <c r="F12" s="23" t="n">
        <v>1600</v>
      </c>
    </row>
    <row r="13">
      <c r="B13" s="28" t="inlineStr">
        <is>
          <t>PED-08</t>
        </is>
      </c>
      <c r="C13" s="8" t="inlineStr">
        <is>
          <t>Innova Z</t>
        </is>
      </c>
      <c r="D13" s="18" t="inlineStr">
        <is>
          <t>Madrid</t>
        </is>
      </c>
      <c r="E13" s="18" t="inlineStr">
        <is>
          <t>Entregado</t>
        </is>
      </c>
      <c r="F13" s="23" t="n">
        <v>780</v>
      </c>
      <c r="G13" s="22" t="n">
        <v>2</v>
      </c>
    </row>
    <row r="16">
      <c r="B16" s="6" t="inlineStr">
        <is>
          <t>EJERCICIOS DE CONTEO Y SUMA (LECCIONES 09 A 11 DEL PDF):</t>
        </is>
      </c>
    </row>
    <row r="17">
      <c r="B17" s="7" t="inlineStr">
        <is>
          <t>LECCIÓN Y RETO ASOCIADO AL PDF</t>
        </is>
      </c>
      <c r="C17" s="7" t="inlineStr">
        <is>
          <t>TU FÓRMULA (Escribe en amarillo)</t>
        </is>
      </c>
      <c r="D17" s="7" t="inlineStr">
        <is>
          <t>VALOR ESPERADO</t>
        </is>
      </c>
      <c r="E17" s="7" t="inlineStr">
        <is>
          <t>VALIDACIÓN</t>
        </is>
      </c>
      <c r="F17" s="7" t="inlineStr">
        <is>
          <t>PISTA TÉCNICA</t>
        </is>
      </c>
    </row>
    <row r="18">
      <c r="B18" s="8" t="inlineStr">
        <is>
          <t>LECCIÓN 09A: Nº de pedidos con días de entrega registrados</t>
        </is>
      </c>
      <c r="C18" s="19" t="n"/>
      <c r="D18" s="10" t="n">
        <v>5</v>
      </c>
      <c r="E18" s="11">
        <f>IF(ISBLANK(C18), "PENDIENTE", IF(C18=D18, "CORRECTO", "REVISAR"))</f>
        <v/>
      </c>
      <c r="F18" s="13" t="inlineStr">
        <is>
          <t>CONTAR sólo cuenta celdas con números: =CONTAR(G6:G13)</t>
        </is>
      </c>
    </row>
    <row r="19">
      <c r="B19" s="8" t="inlineStr">
        <is>
          <t>LECCIÓN 09B: Nº total de clientes anotados</t>
        </is>
      </c>
      <c r="C19" s="19" t="n"/>
      <c r="D19" s="10" t="n">
        <v>8</v>
      </c>
      <c r="E19" s="11">
        <f>IF(ISBLANK(C19), "PENDIENTE", IF(C19=D19, "CORRECTO", "REVISAR"))</f>
        <v/>
      </c>
      <c r="F19" s="13" t="inlineStr">
        <is>
          <t>CONTARA cuenta celdas con cualquier contenido: =CONTARA(C6:C13)</t>
        </is>
      </c>
    </row>
    <row r="20">
      <c r="B20" s="8" t="inlineStr">
        <is>
          <t>LECCIÓN 09C: Nº de entregas aún pendientes (celdas vacías)</t>
        </is>
      </c>
      <c r="C20" s="19" t="n"/>
      <c r="D20" s="10" t="n">
        <v>3</v>
      </c>
      <c r="E20" s="11">
        <f>IF(ISBLANK(C20), "PENDIENTE", IF(C20=D20, "CORRECTO", "REVISAR"))</f>
        <v/>
      </c>
      <c r="F20" s="13" t="inlineStr">
        <is>
          <t>CONTAR.BLANCO cuenta celdas sin rellenar: =CONTAR.BLANCO(G6:G13)</t>
        </is>
      </c>
    </row>
    <row r="21">
      <c r="B21" s="8" t="inlineStr">
        <is>
          <t>LECCIÓN 10A: ¿Cuántos pedidos van con destino 'Madrid'?</t>
        </is>
      </c>
      <c r="C21" s="19" t="n"/>
      <c r="D21" s="10" t="n">
        <v>4</v>
      </c>
      <c r="E21" s="11">
        <f>IF(ISBLANK(C21), "PENDIENTE", IF(C21=D21, "CORRECTO", "REVISAR"))</f>
        <v/>
      </c>
      <c r="F21" s="13" t="inlineStr">
        <is>
          <t>CONTAR.SI(rango; "Madrid"): =CONTAR.SI(D6:D13; "Madrid")</t>
        </is>
      </c>
    </row>
    <row r="22">
      <c r="B22" s="8" t="inlineStr">
        <is>
          <t>LECCIÓN 10B: ¿Cuántos pedidos superan los 1.000 € de venta?</t>
        </is>
      </c>
      <c r="C22" s="19" t="n"/>
      <c r="D22" s="10" t="n">
        <v>4</v>
      </c>
      <c r="E22" s="11">
        <f>IF(ISBLANK(C22), "PENDIENTE", IF(C22=D22, "CORRECTO", "REVISAR"))</f>
        <v/>
      </c>
      <c r="F22" s="13" t="inlineStr">
        <is>
          <t>CONTAR.SI(rango; "&gt;1000"): =CONTAR.SI(F6:F13; "&gt;1000")</t>
        </is>
      </c>
    </row>
    <row r="23">
      <c r="B23" s="8" t="inlineStr">
        <is>
          <t>LECCIÓN 11: Total de facturación sólo en 'Madrid' (€)</t>
        </is>
      </c>
      <c r="C23" s="19" t="n"/>
      <c r="D23" s="10" t="n">
        <v>6180</v>
      </c>
      <c r="E23" s="11">
        <f>IF(ISBLANK(C23), "PENDIENTE", IF(C23=D23, "CORRECTO", "REVISAR"))</f>
        <v/>
      </c>
      <c r="F23" s="13" t="inlineStr">
        <is>
          <t>SUMAR.SI(ciudades; "Madrid"; importes): =SUMAR.SI(D6:D13; "Madrid"; F6:F13)</t>
        </is>
      </c>
    </row>
  </sheetData>
  <mergeCells count="1">
    <mergeCell ref="B2:H2"/>
  </mergeCells>
  <conditionalFormatting sqref="E6:H40">
    <cfRule type="cellIs" priority="1" operator="equal" dxfId="0" stopIfTrue="1">
      <formula>"CORRECTO"</formula>
    </cfRule>
    <cfRule type="cellIs" priority="2" operator="equal" dxfId="1" stopIfTrue="1">
      <formula>"REVISAR"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B2:I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8" customWidth="1" min="4" max="4"/>
    <col width="24" customWidth="1" min="5" max="5"/>
    <col width="22" customWidth="1" min="6" max="6"/>
  </cols>
  <sheetData>
    <row r="2" ht="36" customHeight="1">
      <c r="B2" s="29" t="inlineStr">
        <is>
          <t>MÓDULO 4: FUNCIONES LÓGICAS CLÁSICAS (SI, Y, O, SI.ERROR) · Dr.byte</t>
        </is>
      </c>
    </row>
    <row r="4">
      <c r="B4" s="6" t="inlineStr">
        <is>
          <t>LECCIÓN 12 · EJERCICIO 4.1: Calificaciones escolares con función SI simple</t>
        </is>
      </c>
    </row>
    <row r="6">
      <c r="B6" s="30" t="inlineStr">
        <is>
          <t>ALUMNO</t>
        </is>
      </c>
      <c r="C6" s="30" t="inlineStr">
        <is>
          <t>NOTA</t>
        </is>
      </c>
      <c r="D6" s="30" t="inlineStr">
        <is>
          <t>ESTADO (=SI(C7&gt;=5; "Aprobado"; "Suspenso"))</t>
        </is>
      </c>
      <c r="E6" s="30" t="inlineStr">
        <is>
          <t>VALIDACIÓN</t>
        </is>
      </c>
    </row>
    <row r="7">
      <c r="B7" s="18" t="inlineStr">
        <is>
          <t>Pablo García</t>
        </is>
      </c>
      <c r="C7" s="31" t="n">
        <v>7.5</v>
      </c>
      <c r="D7" s="19" t="n"/>
      <c r="E7" s="11">
        <f>IF(ISBLANK(D7), "PENDIENTE", IF(UPPER(D7)="APROBADO", "CORRECTO", "REVISAR"))</f>
        <v/>
      </c>
    </row>
    <row r="8">
      <c r="B8" s="18" t="inlineStr">
        <is>
          <t>Marta Ríos</t>
        </is>
      </c>
      <c r="C8" s="31" t="n">
        <v>4.2</v>
      </c>
      <c r="D8" s="19" t="n"/>
      <c r="E8" s="11">
        <f>IF(ISBLANK(D8), "PENDIENTE", IF(UPPER(D8)="SUSPENSO", "CORRECTO", "REVISAR"))</f>
        <v/>
      </c>
    </row>
    <row r="9">
      <c r="B9" s="18" t="inlineStr">
        <is>
          <t>Jordi Soler</t>
        </is>
      </c>
      <c r="C9" s="31" t="n">
        <v>5</v>
      </c>
      <c r="D9" s="19" t="n"/>
      <c r="E9" s="11">
        <f>IF(ISBLANK(D9), "PENDIENTE", IF(UPPER(D9)="APROBADO", "CORRECTO", "REVISAR"))</f>
        <v/>
      </c>
    </row>
    <row r="10">
      <c r="B10" s="18" t="inlineStr">
        <is>
          <t>Raquel Valls</t>
        </is>
      </c>
      <c r="C10" s="31" t="n">
        <v>3.8</v>
      </c>
      <c r="D10" s="19" t="n"/>
      <c r="E10" s="11">
        <f>IF(ISBLANK(D10), "PENDIENTE", IF(UPPER(D10)="SUSPENSO", "CORRECTO", "REVISAR"))</f>
        <v/>
      </c>
    </row>
    <row r="13">
      <c r="B13" s="6" t="inlineStr">
        <is>
          <t>LECCIÓN 13 · EJERCICIO 4.2: Concesión de Bonificación con función =SI(Y(...))</t>
        </is>
      </c>
    </row>
    <row r="15">
      <c r="B15" s="7" t="inlineStr">
        <is>
          <t>EMPLEADO</t>
        </is>
      </c>
      <c r="C15" s="7" t="inlineStr">
        <is>
          <t>VENTAS (€)</t>
        </is>
      </c>
      <c r="D15" s="7" t="inlineStr">
        <is>
          <t>SATISFACCIÓN</t>
        </is>
      </c>
      <c r="E15" s="7" t="inlineStr">
        <is>
          <t>BONO (=SI(Y(C16&gt;=10000; D16&gt;=9); 500; 0))</t>
        </is>
      </c>
      <c r="F15" s="7" t="inlineStr">
        <is>
          <t>VALIDACIÓN</t>
        </is>
      </c>
    </row>
    <row r="16">
      <c r="B16" s="18" t="inlineStr">
        <is>
          <t>Sergio Ramos</t>
        </is>
      </c>
      <c r="C16" s="23" t="n">
        <v>12500</v>
      </c>
      <c r="D16" s="31" t="n">
        <v>9.199999999999999</v>
      </c>
      <c r="E16" s="24" t="n"/>
      <c r="F16" s="11">
        <f>IF(ISBLANK(E16), "PENDIENTE", IF(E16=500, "CORRECTO", "REVISAR"))</f>
        <v/>
      </c>
    </row>
    <row r="17">
      <c r="B17" s="18" t="inlineStr">
        <is>
          <t>Ana Beltrán</t>
        </is>
      </c>
      <c r="C17" s="23" t="n">
        <v>11000</v>
      </c>
      <c r="D17" s="31" t="n">
        <v>8.5</v>
      </c>
      <c r="E17" s="24" t="n"/>
      <c r="F17" s="11">
        <f>IF(ISBLANK(E17), "PENDIENTE", IF(E17=0, "CORRECTO", "REVISAR"))</f>
        <v/>
      </c>
    </row>
    <row r="18">
      <c r="B18" s="18" t="inlineStr">
        <is>
          <t>David Cano</t>
        </is>
      </c>
      <c r="C18" s="23" t="n">
        <v>9500</v>
      </c>
      <c r="D18" s="31" t="n">
        <v>9.5</v>
      </c>
      <c r="E18" s="24" t="n"/>
      <c r="F18" s="11">
        <f>IF(ISBLANK(E18), "PENDIENTE", IF(E18=0, "CORRECTO", "REVISAR"))</f>
        <v/>
      </c>
    </row>
    <row r="19">
      <c r="B19" s="18" t="inlineStr">
        <is>
          <t>Clara Gil</t>
        </is>
      </c>
      <c r="C19" s="23" t="n">
        <v>15000</v>
      </c>
      <c r="D19" s="31" t="n">
        <v>9</v>
      </c>
      <c r="E19" s="24" t="n"/>
      <c r="F19" s="11">
        <f>IF(ISBLANK(E19), "PENDIENTE", IF(E19=500, "CORRECTO", "REVISAR"))</f>
        <v/>
      </c>
    </row>
    <row r="22">
      <c r="B22" s="6" t="inlineStr">
        <is>
          <t>LECCIÓN 14 · EJERCICIO 4.3: Evitar errores de división (#¡DIV/0!) con SI.ERROR</t>
        </is>
      </c>
    </row>
    <row r="24">
      <c r="B24" s="30" t="inlineStr">
        <is>
          <t>PROYECTO</t>
        </is>
      </c>
      <c r="C24" s="30" t="inlineStr">
        <is>
          <t>COSTE TOTAL</t>
        </is>
      </c>
      <c r="D24" s="30" t="inlineStr">
        <is>
          <t>UNIDADES</t>
        </is>
      </c>
      <c r="E24" s="30" t="inlineStr">
        <is>
          <t>COSTE UNITARIO (=SI.ERROR(C25/D25; 0))</t>
        </is>
      </c>
      <c r="F24" s="30" t="inlineStr">
        <is>
          <t>VALIDACIÓN</t>
        </is>
      </c>
    </row>
    <row r="25">
      <c r="B25" s="18" t="inlineStr">
        <is>
          <t>Lote Alpha</t>
        </is>
      </c>
      <c r="C25" s="23" t="n">
        <v>4500</v>
      </c>
      <c r="D25" t="n">
        <v>150</v>
      </c>
      <c r="E25" s="17" t="n"/>
      <c r="F25" s="11">
        <f>IF(ISBLANK(E25), "PENDIENTE", IF(E25=30, "CORRECTO", "REVISAR"))</f>
        <v/>
      </c>
    </row>
    <row r="26">
      <c r="B26" s="18" t="inlineStr">
        <is>
          <t>Lote Beta</t>
        </is>
      </c>
      <c r="C26" s="23" t="n">
        <v>2200</v>
      </c>
      <c r="D26" t="n">
        <v>0</v>
      </c>
      <c r="E26" s="17" t="n"/>
      <c r="F26" s="11">
        <f>IF(ISBLANK(E26), "PENDIENTE", IF(E26=0, "CORRECTO", "REVISAR"))</f>
        <v/>
      </c>
    </row>
    <row r="27">
      <c r="B27" s="18" t="inlineStr">
        <is>
          <t>Lote Gamma</t>
        </is>
      </c>
      <c r="C27" s="23" t="n">
        <v>6000</v>
      </c>
      <c r="D27" t="n">
        <v>200</v>
      </c>
      <c r="E27" s="17" t="n"/>
      <c r="F27" s="11">
        <f>IF(ISBLANK(E27), "PENDIENTE", IF(E27=30, "CORRECTO", "REVISAR"))</f>
        <v/>
      </c>
    </row>
  </sheetData>
  <mergeCells count="1">
    <mergeCell ref="B2:I2"/>
  </mergeCells>
  <conditionalFormatting sqref="E6:H40">
    <cfRule type="cellIs" priority="1" operator="equal" dxfId="0" stopIfTrue="1">
      <formula>"CORRECTO"</formula>
    </cfRule>
    <cfRule type="cellIs" priority="2" operator="equal" dxfId="1" stopIfTrue="1">
      <formula>"REVISAR"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B2:I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26" customWidth="1" min="4" max="4"/>
    <col width="18" customWidth="1" min="5" max="5"/>
    <col width="22" customWidth="1" min="6" max="6"/>
    <col width="22" customWidth="1" min="7" max="7"/>
  </cols>
  <sheetData>
    <row r="2" ht="36" customHeight="1">
      <c r="B2" s="32" t="inlineStr">
        <is>
          <t>MÓDULO 5: BUSCARV CLÁSICO Y EL COMBO INDICE + COINCIDIR · Dr.byte</t>
        </is>
      </c>
    </row>
    <row r="4">
      <c r="B4" s="6" t="inlineStr">
        <is>
          <t>TABLA MAESTRA DE PRODUCTOS (CATÁLOGO CENTRAL DE REFERENCIA):</t>
        </is>
      </c>
    </row>
    <row r="5">
      <c r="B5" s="7" t="inlineStr">
        <is>
          <t>CÓDIGO</t>
        </is>
      </c>
      <c r="C5" s="7" t="inlineStr">
        <is>
          <t>PRODUCTO</t>
        </is>
      </c>
      <c r="D5" s="7" t="inlineStr">
        <is>
          <t>CATEGORÍA</t>
        </is>
      </c>
      <c r="E5" s="7" t="inlineStr">
        <is>
          <t>PRECIO (€)</t>
        </is>
      </c>
      <c r="F5" s="7" t="inlineStr">
        <is>
          <t>STOCK DISPONIBLE</t>
        </is>
      </c>
    </row>
    <row r="6">
      <c r="B6" s="28" t="inlineStr">
        <is>
          <t>P-101</t>
        </is>
      </c>
      <c r="C6" s="8" t="inlineStr">
        <is>
          <t>Teclado Inalámbrico</t>
        </is>
      </c>
      <c r="D6" s="18" t="inlineStr">
        <is>
          <t>Periféricos</t>
        </is>
      </c>
      <c r="E6" s="16" t="n">
        <v>35</v>
      </c>
      <c r="F6" s="22" t="n">
        <v>120</v>
      </c>
    </row>
    <row r="7">
      <c r="B7" s="28" t="inlineStr">
        <is>
          <t>P-102</t>
        </is>
      </c>
      <c r="C7" s="8" t="inlineStr">
        <is>
          <t>Ratón Bluetooth</t>
        </is>
      </c>
      <c r="D7" s="18" t="inlineStr">
        <is>
          <t>Periféricos</t>
        </is>
      </c>
      <c r="E7" s="16" t="n">
        <v>22.5</v>
      </c>
      <c r="F7" s="22" t="n">
        <v>85</v>
      </c>
    </row>
    <row r="8">
      <c r="B8" s="28" t="inlineStr">
        <is>
          <t>P-103</t>
        </is>
      </c>
      <c r="C8" s="8" t="inlineStr">
        <is>
          <t>Monitor 4K IPS</t>
        </is>
      </c>
      <c r="D8" s="18" t="inlineStr">
        <is>
          <t>Pantallas</t>
        </is>
      </c>
      <c r="E8" s="16" t="n">
        <v>299</v>
      </c>
      <c r="F8" s="22" t="n">
        <v>18</v>
      </c>
    </row>
    <row r="9">
      <c r="B9" s="28" t="inlineStr">
        <is>
          <t>P-104</t>
        </is>
      </c>
      <c r="C9" s="8" t="inlineStr">
        <is>
          <t>Disco SSD 1TB</t>
        </is>
      </c>
      <c r="D9" s="18" t="inlineStr">
        <is>
          <t>Almacenamiento</t>
        </is>
      </c>
      <c r="E9" s="16" t="n">
        <v>79.90000000000001</v>
      </c>
      <c r="F9" s="22" t="n">
        <v>45</v>
      </c>
    </row>
    <row r="10">
      <c r="B10" s="28" t="inlineStr">
        <is>
          <t>P-105</t>
        </is>
      </c>
      <c r="C10" s="8" t="inlineStr">
        <is>
          <t>Cable USB-C 2m</t>
        </is>
      </c>
      <c r="D10" s="18" t="inlineStr">
        <is>
          <t>Cables</t>
        </is>
      </c>
      <c r="E10" s="16" t="n">
        <v>9.5</v>
      </c>
      <c r="F10" s="22" t="n">
        <v>300</v>
      </c>
    </row>
    <row r="13">
      <c r="B13" s="6" t="inlineStr">
        <is>
          <t>LECCIÓN 15 · EJERCICIO 5.1: Factura automática con =BUSCARV(...) exacto</t>
        </is>
      </c>
    </row>
    <row r="15">
      <c r="B15" s="33" t="inlineStr">
        <is>
          <t>CÓDIGO PEDIDO</t>
        </is>
      </c>
      <c r="C15" s="33" t="inlineStr">
        <is>
          <t>PRODUCTO (BUSCARV col 2)</t>
        </is>
      </c>
      <c r="D15" s="33" t="inlineStr">
        <is>
          <t>PRECIO (BUSCARV col 4)</t>
        </is>
      </c>
      <c r="E15" s="33" t="inlineStr">
        <is>
          <t>CANTIDAD</t>
        </is>
      </c>
      <c r="F15" s="33" t="inlineStr">
        <is>
          <t>TOTAL LÍNEA</t>
        </is>
      </c>
      <c r="G15" s="33" t="inlineStr">
        <is>
          <t>VALIDACIÓN</t>
        </is>
      </c>
    </row>
    <row r="16">
      <c r="B16" s="28" t="inlineStr">
        <is>
          <t>P-103</t>
        </is>
      </c>
      <c r="C16" s="19" t="n"/>
      <c r="D16" s="17" t="n"/>
      <c r="E16" s="22" t="n">
        <v>2</v>
      </c>
      <c r="F16" s="16">
        <f>D16*E16</f>
        <v/>
      </c>
      <c r="G16" s="11">
        <f>IF(OR(ISBLANK(C16), ISBLANK(D16)), "PENDIENTE", IF(AND(UPPER(C16)="MONITOR 4K IPS", ROUND(D16,2)=299.0), "CORRECTO", "REVISAR"))</f>
        <v/>
      </c>
    </row>
    <row r="17">
      <c r="B17" s="28" t="inlineStr">
        <is>
          <t>P-101</t>
        </is>
      </c>
      <c r="C17" s="19" t="n"/>
      <c r="D17" s="17" t="n"/>
      <c r="E17" s="22" t="n">
        <v>5</v>
      </c>
      <c r="F17" s="16">
        <f>D17*E17</f>
        <v/>
      </c>
      <c r="G17" s="11">
        <f>IF(OR(ISBLANK(C17), ISBLANK(D17)), "PENDIENTE", IF(AND(UPPER(C17)="TECLADO INALÁMBRICO", ROUND(D17,2)=35.0), "CORRECTO", "REVISAR"))</f>
        <v/>
      </c>
    </row>
    <row r="18">
      <c r="B18" s="28" t="inlineStr">
        <is>
          <t>P-105</t>
        </is>
      </c>
      <c r="C18" s="19" t="n"/>
      <c r="D18" s="17" t="n"/>
      <c r="E18" s="22" t="n">
        <v>10</v>
      </c>
      <c r="F18" s="16">
        <f>D18*E18</f>
        <v/>
      </c>
      <c r="G18" s="11">
        <f>IF(OR(ISBLANK(C18), ISBLANK(D18)), "PENDIENTE", IF(AND(UPPER(C18)="CABLE USB-C 2M", ROUND(D18,2)=9.5), "CORRECTO", "REVISAR"))</f>
        <v/>
      </c>
    </row>
    <row r="21">
      <c r="B21" s="6" t="inlineStr">
        <is>
          <t>LECCIÓN 16 · EJERCICIO 5.2: Búsqueda hacia la izquierda con ÍNDICE + COINCIDIR</t>
        </is>
      </c>
    </row>
    <row r="23">
      <c r="B23" s="8" t="inlineStr">
        <is>
          <t>BUSCAR POR NOMBRE:</t>
        </is>
      </c>
      <c r="C23" s="34" t="inlineStr">
        <is>
          <t>Disco SSD 1TB</t>
        </is>
      </c>
    </row>
    <row r="24">
      <c r="B24" s="8" t="inlineStr">
        <is>
          <t>CÓDIGO ENCONTRADO (=INDICE(B6:B10; COINCIDIR(C23; C6:C10; 0))):</t>
        </is>
      </c>
      <c r="C24" s="19" t="n"/>
      <c r="D24" s="11">
        <f>IF(ISBLANK(C24), "PENDIENTE", IF(UPPER(C24)="P-104", "CORRECTO", "REVISAR"))</f>
        <v/>
      </c>
    </row>
  </sheetData>
  <mergeCells count="1">
    <mergeCell ref="B2:I2"/>
  </mergeCells>
  <conditionalFormatting sqref="E6:H40">
    <cfRule type="cellIs" priority="1" operator="equal" dxfId="0" stopIfTrue="1">
      <formula>"CORRECTO"</formula>
    </cfRule>
    <cfRule type="cellIs" priority="2" operator="equal" dxfId="1" stopIfTrue="1">
      <formula>"REVISAR"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580C"/>
    <outlinePr summaryBelow="1" summaryRight="1"/>
    <pageSetUpPr/>
  </sheetPr>
  <dimension ref="B2:I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4" customWidth="1" min="3" max="3"/>
    <col width="36" customWidth="1" min="4" max="4"/>
    <col width="26" customWidth="1" min="5" max="5"/>
    <col width="20" customWidth="1" min="6" max="6"/>
  </cols>
  <sheetData>
    <row r="2" ht="36" customHeight="1">
      <c r="B2" s="35" t="inlineStr">
        <is>
          <t>MÓDULO 6: FUNCIONES DE TEXTO (NOMPROPIO, IZQUIERDA) Y FECHAS · Dr.byte</t>
        </is>
      </c>
    </row>
    <row r="4">
      <c r="B4" s="6" t="inlineStr">
        <is>
          <t>LECCIÓN 17 · EJERCICIO 6.1: Limpieza y extracción de texto</t>
        </is>
      </c>
    </row>
    <row r="5">
      <c r="B5" s="7" t="inlineStr">
        <is>
          <t>TEXTO SUCIO / ORIGINAL</t>
        </is>
      </c>
      <c r="C5" s="7" t="inlineStr">
        <is>
          <t>RETO Y FÓRMULA ASOCIADA</t>
        </is>
      </c>
      <c r="D5" s="7" t="inlineStr">
        <is>
          <t>TU FÓRMULA (Escribe aquí)</t>
        </is>
      </c>
      <c r="E5" s="7" t="inlineStr">
        <is>
          <t>VALOR ESPERADO</t>
        </is>
      </c>
      <c r="F5" s="7" t="inlineStr">
        <is>
          <t>VALIDACIÓN</t>
        </is>
      </c>
    </row>
    <row r="6">
      <c r="B6" s="18" t="inlineStr">
        <is>
          <t>juan pérez lópez</t>
        </is>
      </c>
      <c r="C6" s="13" t="inlineStr">
        <is>
          <t>Corregir mayúsculas: =NOMPROPIO(B6)</t>
        </is>
      </c>
      <c r="D6" s="19" t="n"/>
      <c r="E6" s="13" t="inlineStr">
        <is>
          <t>Juan Pérez López</t>
        </is>
      </c>
      <c r="F6" s="11">
        <f>IF(ISBLANK(D6), "PENDIENTE", IF(TRIM(UPPER(D6))="JUAN PÉREZ LÓPEZ", "CORRECTO", "REVISAR"))</f>
        <v/>
      </c>
    </row>
    <row r="7">
      <c r="B7" s="18" t="inlineStr">
        <is>
          <t xml:space="preserve">  ESPACIOS  DOBLES  </t>
        </is>
      </c>
      <c r="C7" s="13" t="inlineStr">
        <is>
          <t>Quitar espacios fantasma: =ESPACIOS(B7)</t>
        </is>
      </c>
      <c r="D7" s="19" t="n"/>
      <c r="E7" s="13" t="inlineStr">
        <is>
          <t>ESPACIOS DOBLES</t>
        </is>
      </c>
      <c r="F7" s="11">
        <f>IF(ISBLANK(D7), "PENDIENTE", IF(TRIM(UPPER(D7))="ESPACIOS DOBLES", "CORRECTO", "REVISAR"))</f>
        <v/>
      </c>
    </row>
    <row r="8">
      <c r="B8" s="18" t="inlineStr">
        <is>
          <t>MAD-2026-9854</t>
        </is>
      </c>
      <c r="C8" s="13" t="inlineStr">
        <is>
          <t>Extraer provincia (3 primeros chars): =IZQUIERDA(B8; 3)</t>
        </is>
      </c>
      <c r="D8" s="19" t="n"/>
      <c r="E8" s="13" t="inlineStr">
        <is>
          <t>MAD</t>
        </is>
      </c>
      <c r="F8" s="11">
        <f>IF(ISBLANK(D8), "PENDIENTE", IF(TRIM(UPPER(D8))="MAD", "CORRECTO", "REVISAR"))</f>
        <v/>
      </c>
    </row>
    <row r="9">
      <c r="B9" s="18" t="inlineStr">
        <is>
          <t>MAD-2026-9854</t>
        </is>
      </c>
      <c r="C9" s="13" t="inlineStr">
        <is>
          <t>Extraer año (4 caracteres desde pos 5): =EXTRAE(B9; 5; 4)</t>
        </is>
      </c>
      <c r="D9" s="19" t="n"/>
      <c r="E9" s="13" t="inlineStr">
        <is>
          <t>2026</t>
        </is>
      </c>
      <c r="F9" s="11">
        <f>IF(ISBLANK(D9), "PENDIENTE", IF(TRIM(UPPER(D9))="2026", "CORRECTO", "REVISAR"))</f>
        <v/>
      </c>
    </row>
    <row r="10">
      <c r="B10" s="18" t="inlineStr">
        <is>
          <t>MAD-2026-9854</t>
        </is>
      </c>
      <c r="C10" s="13" t="inlineStr">
        <is>
          <t>Extraer número final (4 últimos): =DERECHA(B10; 4)</t>
        </is>
      </c>
      <c r="D10" s="19" t="n"/>
      <c r="E10" s="13" t="inlineStr">
        <is>
          <t>9854</t>
        </is>
      </c>
      <c r="F10" s="11">
        <f>IF(ISBLANK(D10), "PENDIENTE", IF(TRIM(UPPER(D10))="9854", "CORRECTO", "REVISAR"))</f>
        <v/>
      </c>
    </row>
    <row r="13">
      <c r="B13" s="6" t="inlineStr">
        <is>
          <t>LECCIÓN 18 · EJERCICIO 6.2: Cálculo con fechas y días transcurridos</t>
        </is>
      </c>
    </row>
    <row r="14">
      <c r="B14" s="36" t="inlineStr">
        <is>
          <t>FECHA INICIO CONTRATO</t>
        </is>
      </c>
      <c r="C14" s="36" t="inlineStr">
        <is>
          <t>FECHA FIN PROYECTO</t>
        </is>
      </c>
      <c r="D14" s="36" t="inlineStr">
        <is>
          <t>DÍAS DE DURACIÓN (=C15-B15)</t>
        </is>
      </c>
      <c r="E14" s="36" t="inlineStr">
        <is>
          <t>AÑO DE INICIO (=AÑO(B15))</t>
        </is>
      </c>
      <c r="F14" s="36" t="inlineStr">
        <is>
          <t>VALIDACIÓN</t>
        </is>
      </c>
    </row>
    <row r="15">
      <c r="B15" s="18" t="inlineStr">
        <is>
          <t>2026-01-15</t>
        </is>
      </c>
      <c r="C15" s="18" t="inlineStr">
        <is>
          <t>2026-06-30</t>
        </is>
      </c>
      <c r="D15" s="37" t="n"/>
      <c r="E15" s="37" t="n"/>
      <c r="F15" s="11">
        <f>IF(OR(ISBLANK(D15), ISBLANK(E15)), "PENDIENTE", IF(AND(D15=166, E15=2026), "CORRECTO", "REVISAR"))</f>
        <v/>
      </c>
    </row>
    <row r="16">
      <c r="B16" s="18" t="inlineStr">
        <is>
          <t>2025-10-01</t>
        </is>
      </c>
      <c r="C16" s="18" t="inlineStr">
        <is>
          <t>2026-04-15</t>
        </is>
      </c>
      <c r="D16" s="37" t="n"/>
      <c r="E16" s="37" t="n"/>
      <c r="F16" s="11">
        <f>IF(OR(ISBLANK(D16), ISBLANK(E16)), "PENDIENTE", IF(AND(D16=196, E16=2025), "CORRECTO", "REVISAR"))</f>
        <v/>
      </c>
    </row>
    <row r="17">
      <c r="B17" s="18" t="inlineStr">
        <is>
          <t>2026-03-01</t>
        </is>
      </c>
      <c r="C17" s="18" t="inlineStr">
        <is>
          <t>2026-12-31</t>
        </is>
      </c>
      <c r="D17" s="37" t="n"/>
      <c r="E17" s="37" t="n"/>
      <c r="F17" s="11">
        <f>IF(OR(ISBLANK(D17), ISBLANK(E17)), "PENDIENTE", IF(AND(D17=305, E17=2026), "CORRECTO", "REVISAR"))</f>
        <v/>
      </c>
    </row>
  </sheetData>
  <mergeCells count="1">
    <mergeCell ref="B2:I2"/>
  </mergeCells>
  <conditionalFormatting sqref="E6:H40">
    <cfRule type="cellIs" priority="1" operator="equal" dxfId="0" stopIfTrue="1">
      <formula>"CORRECTO"</formula>
    </cfRule>
    <cfRule type="cellIs" priority="2" operator="equal" dxfId="1" stopIfTrue="1">
      <formula>"REVISAR"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75569"/>
    <outlinePr summaryBelow="1" summaryRight="1"/>
    <pageSetUpPr/>
  </sheetPr>
  <dimension ref="B2:G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48" customWidth="1" min="3" max="3"/>
    <col width="65" customWidth="1" min="4" max="4"/>
    <col width="16" customWidth="1" min="5" max="5"/>
  </cols>
  <sheetData>
    <row r="2" ht="36" customHeight="1">
      <c r="B2" s="38" t="inlineStr">
        <is>
          <t>GUÍA DE SOLUCIONES Y FÓRMULAS EXACTAS · Dr.byte</t>
        </is>
      </c>
    </row>
    <row r="4">
      <c r="B4" s="7" t="inlineStr">
        <is>
          <t>MÓDULO</t>
        </is>
      </c>
      <c r="C4" s="7" t="inlineStr">
        <is>
          <t>LECCIÓN Y CONCEPTO</t>
        </is>
      </c>
      <c r="D4" s="7" t="inlineStr">
        <is>
          <t>FÓRMULA EXACTA QUE DEBES INTRODUCIR</t>
        </is>
      </c>
    </row>
    <row r="5">
      <c r="B5" s="8" t="inlineStr">
        <is>
          <t>MÓDULO 1: Operaciones y Paréntesis</t>
        </is>
      </c>
      <c r="C5" s="15" t="inlineStr">
        <is>
          <t>Lección 01: Suma simple</t>
        </is>
      </c>
      <c r="D5" s="28" t="inlineStr">
        <is>
          <t>=C7+D7</t>
        </is>
      </c>
    </row>
    <row r="6">
      <c r="B6" s="8" t="inlineStr">
        <is>
          <t>MÓDULO 1: Operaciones y Paréntesis</t>
        </is>
      </c>
      <c r="C6" s="15" t="inlineStr">
        <is>
          <t>Lección 01: Resta simple</t>
        </is>
      </c>
      <c r="D6" s="28" t="inlineStr">
        <is>
          <t>=C8-D8</t>
        </is>
      </c>
    </row>
    <row r="7">
      <c r="B7" s="8" t="inlineStr">
        <is>
          <t>MÓDULO 1: Operaciones y Paréntesis</t>
        </is>
      </c>
      <c r="C7" s="15" t="inlineStr">
        <is>
          <t>Lección 01: Multiplicación</t>
        </is>
      </c>
      <c r="D7" s="28" t="inlineStr">
        <is>
          <t>=C9*D9</t>
        </is>
      </c>
    </row>
    <row r="8">
      <c r="B8" s="8" t="inlineStr">
        <is>
          <t>MÓDULO 1: Operaciones y Paréntesis</t>
        </is>
      </c>
      <c r="C8" s="15" t="inlineStr">
        <is>
          <t>Lección 01: División</t>
        </is>
      </c>
      <c r="D8" s="28" t="inlineStr">
        <is>
          <t>=C10/D10</t>
        </is>
      </c>
    </row>
    <row r="9">
      <c r="B9" s="8" t="inlineStr">
        <is>
          <t>MÓDULO 1: Operaciones y Paréntesis</t>
        </is>
      </c>
      <c r="C9" s="15" t="inlineStr">
        <is>
          <t>Lección 01: Potencia</t>
        </is>
      </c>
      <c r="D9" s="28" t="inlineStr">
        <is>
          <t>=C11^D11</t>
        </is>
      </c>
    </row>
    <row r="10">
      <c r="B10" s="8" t="inlineStr">
        <is>
          <t>MÓDULO 1: Operaciones y Paréntesis</t>
        </is>
      </c>
      <c r="C10" s="15" t="inlineStr">
        <is>
          <t>Lección 02: Jerarquía con paréntesis</t>
        </is>
      </c>
      <c r="D10" s="28" t="inlineStr">
        <is>
          <t>=(C18+D18)*E18</t>
        </is>
      </c>
    </row>
    <row r="11">
      <c r="B11" s="8" t="inlineStr">
        <is>
          <t>MÓDULO 1: Operaciones y Paréntesis</t>
        </is>
      </c>
      <c r="C11" s="15" t="inlineStr">
        <is>
          <t>Lección 03: Fijar celda con dólar ($)</t>
        </is>
      </c>
      <c r="D11" s="28" t="inlineStr">
        <is>
          <t>=C26*$D$23</t>
        </is>
      </c>
    </row>
    <row r="12">
      <c r="B12" s="8" t="inlineStr">
        <is>
          <t>MÓDULO 1: Operaciones y Paréntesis</t>
        </is>
      </c>
      <c r="C12" s="15" t="inlineStr">
        <is>
          <t>Lección 04: Concatenar con ampersand (&amp;)</t>
        </is>
      </c>
      <c r="D12" s="28" t="inlineStr">
        <is>
          <t>=B34 &amp; " vive en " &amp; C34</t>
        </is>
      </c>
    </row>
    <row r="13">
      <c r="B13" s="8" t="inlineStr">
        <is>
          <t>MÓDULO 2: Matemáticas y Estadística</t>
        </is>
      </c>
      <c r="C13" s="15" t="inlineStr">
        <is>
          <t>Lección 05: Suma total de ventas</t>
        </is>
      </c>
      <c r="D13" s="28">
        <f>SUMA(E6:G11)</f>
        <v/>
      </c>
    </row>
    <row r="14">
      <c r="B14" s="8" t="inlineStr">
        <is>
          <t>MÓDULO 2: Matemáticas y Estadística</t>
        </is>
      </c>
      <c r="C14" s="15" t="inlineStr">
        <is>
          <t>Lección 06: Promedio de ventas</t>
        </is>
      </c>
      <c r="D14" s="28" t="inlineStr">
        <is>
          <t>=PROMEDIO(E6:E11)</t>
        </is>
      </c>
    </row>
    <row r="15">
      <c r="B15" s="8" t="inlineStr">
        <is>
          <t>MÓDULO 2: Matemáticas y Estadística</t>
        </is>
      </c>
      <c r="C15" s="15" t="inlineStr">
        <is>
          <t>Lección 07A: Venta máxima</t>
        </is>
      </c>
      <c r="D15" s="28" t="inlineStr">
        <is>
          <t>=MAX(G6:G11)</t>
        </is>
      </c>
    </row>
    <row r="16">
      <c r="B16" s="8" t="inlineStr">
        <is>
          <t>MÓDULO 2: Matemáticas y Estadística</t>
        </is>
      </c>
      <c r="C16" s="15" t="inlineStr">
        <is>
          <t>Lección 07B: Venta mínima</t>
        </is>
      </c>
      <c r="D16" s="28" t="inlineStr">
        <is>
          <t>=MIN(F6:F11)</t>
        </is>
      </c>
    </row>
    <row r="17">
      <c r="B17" s="8" t="inlineStr">
        <is>
          <t>MÓDULO 2: Matemáticas y Estadística</t>
        </is>
      </c>
      <c r="C17" s="15" t="inlineStr">
        <is>
          <t>Lección 08: Redondear promedio</t>
        </is>
      </c>
      <c r="D17" s="28" t="inlineStr">
        <is>
          <t>=REDONDEAR(PROMEDIO(E6:E11); 0)</t>
        </is>
      </c>
    </row>
    <row r="18">
      <c r="B18" s="8" t="inlineStr">
        <is>
          <t>MÓDULO 3: Conteo y Suma Condicional</t>
        </is>
      </c>
      <c r="C18" s="15" t="inlineStr">
        <is>
          <t>Lección 09A: Contar números</t>
        </is>
      </c>
      <c r="D18" s="28" t="inlineStr">
        <is>
          <t>=CONTAR(G6:G13)</t>
        </is>
      </c>
    </row>
    <row r="19">
      <c r="B19" s="8" t="inlineStr">
        <is>
          <t>MÓDULO 3: Conteo y Suma Condicional</t>
        </is>
      </c>
      <c r="C19" s="15" t="inlineStr">
        <is>
          <t>Lección 09B: Contar no vacías</t>
        </is>
      </c>
      <c r="D19" s="28" t="inlineStr">
        <is>
          <t>=CONTARA(C6:C13)</t>
        </is>
      </c>
    </row>
    <row r="20">
      <c r="B20" s="8" t="inlineStr">
        <is>
          <t>MÓDULO 3: Conteo y Suma Condicional</t>
        </is>
      </c>
      <c r="C20" s="15" t="inlineStr">
        <is>
          <t>Lección 09C: Contar vacías</t>
        </is>
      </c>
      <c r="D20" s="28" t="inlineStr">
        <is>
          <t>=CONTAR.BLANCO(G6:G13)</t>
        </is>
      </c>
    </row>
    <row r="21">
      <c r="B21" s="8" t="inlineStr">
        <is>
          <t>MÓDULO 3: Conteo y Suma Condicional</t>
        </is>
      </c>
      <c r="C21" s="15" t="inlineStr">
        <is>
          <t>Lección 10A: Contar con criterio texto</t>
        </is>
      </c>
      <c r="D21" s="28" t="inlineStr">
        <is>
          <t>=CONTAR.SI(D6:D13; "Madrid")</t>
        </is>
      </c>
    </row>
    <row r="22">
      <c r="B22" s="8" t="inlineStr">
        <is>
          <t>MÓDULO 3: Conteo y Suma Condicional</t>
        </is>
      </c>
      <c r="C22" s="15" t="inlineStr">
        <is>
          <t>Lección 10B: Contar con criterio numérico</t>
        </is>
      </c>
      <c r="D22" s="28" t="inlineStr">
        <is>
          <t>=CONTAR.SI(F6:F13; "&gt;1000")</t>
        </is>
      </c>
    </row>
    <row r="23">
      <c r="B23" s="8" t="inlineStr">
        <is>
          <t>MÓDULO 3: Conteo y Suma Condicional</t>
        </is>
      </c>
      <c r="C23" s="15" t="inlineStr">
        <is>
          <t>Lección 11: Sumar con criterio</t>
        </is>
      </c>
      <c r="D23" s="28" t="inlineStr">
        <is>
          <t>=SUMAR.SI(D6:D13; "Madrid"; F6:F13)</t>
        </is>
      </c>
    </row>
    <row r="24">
      <c r="B24" s="8" t="inlineStr">
        <is>
          <t>MÓDULO 4: Funciones Lógicas</t>
        </is>
      </c>
      <c r="C24" s="15" t="inlineStr">
        <is>
          <t>Lección 12: SI básico (Aprobado/Suspenso)</t>
        </is>
      </c>
      <c r="D24" s="28" t="inlineStr">
        <is>
          <t>=SI(C7&gt;=5; "Aprobado"; "Suspenso")</t>
        </is>
      </c>
    </row>
    <row r="25">
      <c r="B25" s="8" t="inlineStr">
        <is>
          <t>MÓDULO 4: Funciones Lógicas</t>
        </is>
      </c>
      <c r="C25" s="15" t="inlineStr">
        <is>
          <t>Lección 13: SI anidado con Y</t>
        </is>
      </c>
      <c r="D25" s="28" t="inlineStr">
        <is>
          <t>=SI(Y(C16&gt;=10000; D16&gt;=9); 500; 0)</t>
        </is>
      </c>
    </row>
    <row r="26">
      <c r="B26" s="8" t="inlineStr">
        <is>
          <t>MÓDULO 4: Funciones Lógicas</t>
        </is>
      </c>
      <c r="C26" s="15" t="inlineStr">
        <is>
          <t>Lección 14: Evitar error con SI.ERROR</t>
        </is>
      </c>
      <c r="D26" s="28" t="inlineStr">
        <is>
          <t>=SI.ERROR(C25/D25; 0)</t>
        </is>
      </c>
    </row>
    <row r="27">
      <c r="B27" s="8" t="inlineStr">
        <is>
          <t>MÓDULO 5: Búsqueda Clásica</t>
        </is>
      </c>
      <c r="C27" s="15" t="inlineStr">
        <is>
          <t>Lección 15: BUSCARV Producto</t>
        </is>
      </c>
      <c r="D27" s="28" t="inlineStr">
        <is>
          <t>=BUSCARV(B16; $B$6:$F$10; 2; 0)</t>
        </is>
      </c>
    </row>
    <row r="28">
      <c r="B28" s="8" t="inlineStr">
        <is>
          <t>MÓDULO 5: Búsqueda Clásica</t>
        </is>
      </c>
      <c r="C28" s="15" t="inlineStr">
        <is>
          <t>Lección 15: BUSCARV Precio</t>
        </is>
      </c>
      <c r="D28" s="28" t="inlineStr">
        <is>
          <t>=BUSCARV(B16; $B$6:$F$10; 4; 0)</t>
        </is>
      </c>
    </row>
    <row r="29">
      <c r="B29" s="8" t="inlineStr">
        <is>
          <t>MÓDULO 5: Búsqueda Clásica</t>
        </is>
      </c>
      <c r="C29" s="15" t="inlineStr">
        <is>
          <t>Lección 16: INDICE + COINCIDIR (Izquierda)</t>
        </is>
      </c>
      <c r="D29" s="28" t="inlineStr">
        <is>
          <t>=INDICE($B$6:$B$10; COINCIDIR(C23; $C$6:$C$10; 0))</t>
        </is>
      </c>
    </row>
    <row r="30">
      <c r="B30" s="8" t="inlineStr">
        <is>
          <t>MÓDULO 6: Texto y Fechas</t>
        </is>
      </c>
      <c r="C30" s="15" t="inlineStr">
        <is>
          <t>Lección 17A: Nombre propio</t>
        </is>
      </c>
      <c r="D30" s="28" t="inlineStr">
        <is>
          <t>=NOMPROPIO(B6)</t>
        </is>
      </c>
    </row>
    <row r="31">
      <c r="B31" s="8" t="inlineStr">
        <is>
          <t>MÓDULO 6: Texto y Fechas</t>
        </is>
      </c>
      <c r="C31" s="15" t="inlineStr">
        <is>
          <t>Lección 17B: Eliminar espacios dobles</t>
        </is>
      </c>
      <c r="D31" s="28" t="inlineStr">
        <is>
          <t>=ESPACIOS(B7)</t>
        </is>
      </c>
    </row>
    <row r="32">
      <c r="B32" s="8" t="inlineStr">
        <is>
          <t>MÓDULO 6: Texto y Fechas</t>
        </is>
      </c>
      <c r="C32" s="15" t="inlineStr">
        <is>
          <t>Lección 17C: Extraer por la izquierda</t>
        </is>
      </c>
      <c r="D32" s="28" t="inlineStr">
        <is>
          <t>=IZQUIERDA(B8; 3)</t>
        </is>
      </c>
    </row>
    <row r="33">
      <c r="B33" s="8" t="inlineStr">
        <is>
          <t>MÓDULO 6: Texto y Fechas</t>
        </is>
      </c>
      <c r="C33" s="15" t="inlineStr">
        <is>
          <t>Lección 17D: Extraer por el medio</t>
        </is>
      </c>
      <c r="D33" s="28" t="inlineStr">
        <is>
          <t>=EXTRAE(B9; 5; 4)</t>
        </is>
      </c>
    </row>
    <row r="34">
      <c r="B34" s="8" t="inlineStr">
        <is>
          <t>MÓDULO 6: Texto y Fechas</t>
        </is>
      </c>
      <c r="C34" s="15" t="inlineStr">
        <is>
          <t>Lección 18A: Diferencia de fechas (días)</t>
        </is>
      </c>
      <c r="D34" s="28" t="inlineStr">
        <is>
          <t>=C15-B15</t>
        </is>
      </c>
    </row>
    <row r="35">
      <c r="B35" s="8" t="inlineStr">
        <is>
          <t>MÓDULO 6: Texto y Fechas</t>
        </is>
      </c>
      <c r="C35" s="15" t="inlineStr">
        <is>
          <t>Lección 18B: Extraer año de una fecha</t>
        </is>
      </c>
      <c r="D35" s="28" t="inlineStr">
        <is>
          <t>=AÑO(B15)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2026-10-01T07:05:05Z</dcterms:created>
  <dcterms:modified xmlns:dcterms="http://purl.org/dc/terms/" xmlns:xsi="http://www.w3.org/2001/XMLSchema-instance" xsi:type="dcterms:W3CDTF">2026-10-01T08:28:29Z</dcterms:modified>
</cp:coreProperties>
</file>