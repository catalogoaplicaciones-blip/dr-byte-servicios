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E8021913-004F-4DC1-A353-EFEF908960C4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<sst xmlns="http://schemas.openxmlformats.org/spreadsheetml/2006/main" count="236" uniqueCount="159">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</sst>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0" fillId="10" borderId="0" xfId="0" applyFill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 fLocksWithSheet="0"/>
  </xdr:twoCellAnchor>
  <xdr:twoCellAnchor>
    <xdr:from>
      <xdr:col>4</xdr:col>
      <xdr:colOff>782320</xdr:colOff>
      <xdr:row>3</xdr:row>
      <xdr:rowOff>60960</xdr:rowOff>
    </xdr:from>
    <xdr:to>
      <xdr:col>8</xdr:col>
      <xdr:colOff>1036320</xdr:colOff>
      <xdr:row>4</xdr:row>
      <xdr:rowOff>106680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D147AFEB-6D96-1DBD-86CF-A780C8684A57}"/>
            </a:ext>
          </a:extLst>
        </xdr:cNvPr>
        <xdr:cNvSpPr txBox="1"/>
      </xdr:nvSpPr>
      <xdr:spPr>
        <a:xfrm>
          <a:off x="3327400" y="609600"/>
          <a:ext cx="444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 fLocksWithSheet="0"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 fLocksWithSheet="0"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271780</xdr:colOff>
      <xdr:row>1</xdr:row>
      <xdr:rowOff>45720</xdr:rowOff>
    </xdr:from>
    <xdr:to>
      <xdr:col>4</xdr:col>
      <xdr:colOff>706120</xdr:colOff>
      <xdr:row>5</xdr:row>
      <xdr:rowOff>76200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228600"/>
          <a:ext cx="762000" cy="7620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782320</xdr:colOff>
      <xdr:row>4</xdr:row>
      <xdr:rowOff>132080</xdr:rowOff>
    </xdr:from>
    <xdr:to>
      <xdr:col>8</xdr:col>
      <xdr:colOff>655320</xdr:colOff>
      <xdr:row>5</xdr:row>
      <xdr:rowOff>177800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3327400" y="863600"/>
          <a:ext cx="4064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29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29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</row>
    <row r="6" spans="1:29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</row>
    <row r="7" spans="1:29" x14ac:dyDescent="0.3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</row>
    <row r="8" spans="1:29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</row>
    <row r="9" spans="1:29" x14ac:dyDescent="0.3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</row>
    <row r="10" spans="1:29" x14ac:dyDescent="0.3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</row>
    <row r="11" spans="1:29" x14ac:dyDescent="0.3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</row>
    <row r="12" spans="1:29" x14ac:dyDescent="0.3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</row>
    <row r="13" spans="1:29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</row>
    <row r="14" spans="1:29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</row>
    <row r="15" spans="1:29" x14ac:dyDescent="0.3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</row>
    <row r="16" spans="1:29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</row>
    <row r="17" spans="1:29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</row>
    <row r="18" spans="1:29" x14ac:dyDescent="0.3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</row>
    <row r="19" spans="1:29" x14ac:dyDescent="0.3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</row>
    <row r="20" spans="1:29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</row>
    <row r="21" spans="1:29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</row>
    <row r="22" spans="1:29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</row>
    <row r="23" spans="1:29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</row>
    <row r="24" spans="1:29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</row>
    <row r="25" spans="1:29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</row>
    <row r="26" spans="1:29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</row>
    <row r="27" spans="1:29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</row>
    <row r="28" spans="1:29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</row>
    <row r="29" spans="1:29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</row>
    <row r="30" spans="1:29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</row>
    <row r="31" spans="1:29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</row>
    <row r="32" spans="1:29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</row>
    <row r="33" spans="1:29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</row>
    <row r="34" spans="1:29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</row>
    <row r="35" spans="1:29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</row>
    <row r="36" spans="1:29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</row>
    <row r="37" spans="1:29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8" spans="1:29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</row>
    <row r="39" spans="1:29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</row>
    <row r="40" spans="1:29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</row>
    <row r="41" spans="1:29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</row>
    <row r="42" spans="1:29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</row>
    <row r="43" spans="1:29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</row>
    <row r="44" spans="1:29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</row>
    <row r="45" spans="1:29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</row>
    <row r="46" spans="1:29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x14ac:dyDescent="0.3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 x14ac:dyDescent="0.3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 x14ac:dyDescent="0.3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</sheetData>
  <sheetProtection algorithmName="SHA-512" hashValue="xas/Rwm4jDCq7a6YWmU67cuCQqSKjbwxFYEQwv2Ndu/cpWcyVPXKZZmNtqNyMkC3ARGEE1CdRmQCMOO/hOsFCg==" saltValue="+krAnVX80+xbETN9tG1AR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19" t="s">
        <v>131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2:13" ht="18" customHeight="1" x14ac:dyDescent="0.3">
      <c r="B3" s="20" t="s">
        <v>132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</row>
    <row r="5" spans="2:13" ht="24" customHeight="1" x14ac:dyDescent="0.3">
      <c r="B5" s="21" t="s">
        <v>133</v>
      </c>
      <c r="C5" s="21"/>
      <c r="D5" s="21"/>
      <c r="E5" s="21"/>
      <c r="G5" s="22" t="s">
        <v>142</v>
      </c>
      <c r="H5" s="22"/>
      <c r="I5" s="22"/>
      <c r="J5" s="22"/>
      <c r="L5" s="23" t="s">
        <v>152</v>
      </c>
      <c r="M5" s="23"/>
    </row>
    <row r="6" spans="2:13" x14ac:dyDescent="0.3">
      <c r="B6" s="24" t="s">
        <v>134</v>
      </c>
      <c r="C6" s="13" t="s">
        <v>135</v>
      </c>
      <c r="D6" s="13"/>
      <c r="E6" s="13"/>
      <c r="G6" s="24" t="s">
        <v>143</v>
      </c>
      <c r="H6" s="16">
        <f t="shared" ref="H6" ca="1" si="0">TODAY()</f>
        <v>46278</v>
      </c>
      <c r="I6" s="16"/>
      <c r="J6" s="16"/>
      <c r="L6" s="25" t="s">
        <v>153</v>
      </c>
      <c r="M6" s="26">
        <f>SUM(Ventas!L:L)</f>
        <v>23945.900000000005</v>
      </c>
    </row>
    <row r="7" spans="2:13" x14ac:dyDescent="0.3">
      <c r="B7" s="24" t="s">
        <v>136</v>
      </c>
      <c r="C7" s="13" t="s">
        <v>137</v>
      </c>
      <c r="D7" s="13"/>
      <c r="E7" s="13"/>
      <c r="G7" s="24" t="s">
        <v>144</v>
      </c>
      <c r="H7" s="13" t="s">
        <v>7</v>
      </c>
      <c r="I7" s="13"/>
      <c r="J7" s="13"/>
      <c r="L7" s="25" t="s">
        <v>154</v>
      </c>
      <c r="M7" s="27">
        <f>SUM(Ventas!I:I)</f>
        <v>19790</v>
      </c>
    </row>
    <row r="8" spans="2:13" x14ac:dyDescent="0.3">
      <c r="B8" s="24" t="s">
        <v>138</v>
      </c>
      <c r="C8" s="13">
        <v>915554433</v>
      </c>
      <c r="D8" s="13"/>
      <c r="E8" s="13"/>
      <c r="G8" s="24" t="s">
        <v>145</v>
      </c>
      <c r="H8" s="13" t="s">
        <v>146</v>
      </c>
      <c r="I8" s="13"/>
      <c r="J8" s="13"/>
      <c r="L8" s="25" t="s">
        <v>155</v>
      </c>
      <c r="M8" s="27">
        <f>SUM(Ventas!K:K)</f>
        <v>4155.8999999999996</v>
      </c>
    </row>
    <row r="9" spans="2:13" x14ac:dyDescent="0.3">
      <c r="B9" s="24" t="s">
        <v>139</v>
      </c>
      <c r="C9" s="13" t="s">
        <v>140</v>
      </c>
      <c r="D9" s="13"/>
      <c r="E9" s="13"/>
      <c r="G9" s="24" t="s">
        <v>147</v>
      </c>
      <c r="H9" s="13" t="s">
        <v>64</v>
      </c>
      <c r="I9" s="13"/>
      <c r="J9" s="13"/>
      <c r="L9" s="25" t="s">
        <v>156</v>
      </c>
      <c r="M9" s="28">
        <f>COUNTA(Ventas!A:A)-1</f>
        <v>16</v>
      </c>
    </row>
    <row r="10" spans="2:13" x14ac:dyDescent="0.3">
      <c r="B10" s="24" t="s">
        <v>141</v>
      </c>
      <c r="C10" s="13" t="s">
        <v>11</v>
      </c>
      <c r="D10" s="13"/>
      <c r="E10" s="13"/>
      <c r="G10" s="24" t="s">
        <v>148</v>
      </c>
      <c r="H10" s="17">
        <v>1</v>
      </c>
      <c r="I10" s="17"/>
      <c r="J10" s="17"/>
      <c r="L10" s="25" t="s">
        <v>157</v>
      </c>
      <c r="M10" s="28">
        <f>COUNTA(Clientes!A:A)-1</f>
        <v>8</v>
      </c>
    </row>
    <row r="11" spans="2:13" x14ac:dyDescent="0.3">
      <c r="G11" s="24" t="s">
        <v>149</v>
      </c>
      <c r="H11" s="14">
        <v>2450</v>
      </c>
      <c r="I11" s="14"/>
      <c r="J11" s="14"/>
      <c r="L11" s="25" t="s">
        <v>158</v>
      </c>
      <c r="M11" s="29">
        <f>IF(M9&gt;0, M6/M9, 0)</f>
        <v>1496.6187500000003</v>
      </c>
    </row>
    <row r="12" spans="2:13" x14ac:dyDescent="0.3">
      <c r="G12" s="24" t="s">
        <v>150</v>
      </c>
      <c r="H12" s="15">
        <v>0.21</v>
      </c>
      <c r="I12" s="15"/>
      <c r="J12" s="15"/>
    </row>
    <row r="13" spans="2:13" x14ac:dyDescent="0.3">
      <c r="G13" s="24" t="s">
        <v>151</v>
      </c>
      <c r="H13" s="13" t="s">
        <v>65</v>
      </c>
      <c r="I13" s="13"/>
      <c r="J13" s="13"/>
    </row>
  </sheetData>
  <sheetProtection algorithmName="SHA-512" hashValue="g8BKvwIb3TvdXx2YzAe7t4LwAKcnlROwj9EiEyLpQMc2mf2KEi3eC3ttRtSgDUppOJOo00MEhypC5Agw7fd3Xg==" saltValue="+2RU8e183LrYd0AGkNA2hA==" spinCount="100000" objects="1" formatCells="0" formatColumns="0" formatRows="0" insertColumns="0" insertRows="0" insertHyperlinks="0" deleteColumns="0" deleteRows="0" sort="0" autoFilter="0" pivotTables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algorithmName="SHA-512" hashValue="FEF9BexBq4g+8swxzZIZNd1P/BC7Tgg/N4uz3sT15FMkGeeCesFaIBJcRRRX+WygMsTOhHG1SYMRCVnV58+2Yw==" saltValue="dYHLW3KX64aUyqJ35LXzP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31" t="s">
        <v>50</v>
      </c>
      <c r="B1" s="32" t="s">
        <v>51</v>
      </c>
      <c r="C1" s="31" t="s">
        <v>0</v>
      </c>
      <c r="D1" s="31" t="s">
        <v>52</v>
      </c>
      <c r="E1" s="31" t="s">
        <v>53</v>
      </c>
      <c r="F1" s="31" t="s">
        <v>54</v>
      </c>
      <c r="G1" s="33" t="s">
        <v>55</v>
      </c>
      <c r="H1" s="34" t="s">
        <v>56</v>
      </c>
      <c r="I1" s="34" t="s">
        <v>57</v>
      </c>
      <c r="J1" s="35" t="s">
        <v>58</v>
      </c>
      <c r="K1" s="34" t="s">
        <v>59</v>
      </c>
      <c r="L1" s="34" t="s">
        <v>60</v>
      </c>
      <c r="M1" s="3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algorithmName="SHA-512" hashValue="C2opyJX88VDSGpznXtlCbZi9AFtc4oe2Ul8spCkr8GBDGXECRm485KQXXfZee9saX325PYlwOlpoAfUD84LqDA==" saltValue="gFDhs9JJqOdUhnaUP6Uh4A==" spinCount="100000" objects="1"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6" t="s">
        <v>111</v>
      </c>
      <c r="C2" s="36"/>
      <c r="D2" s="36"/>
      <c r="E2" s="36"/>
      <c r="F2" s="36"/>
      <c r="G2" s="36"/>
      <c r="H2" s="36"/>
      <c r="I2" s="36"/>
      <c r="J2" s="36"/>
      <c r="K2" s="36"/>
    </row>
    <row r="4" spans="2:11" x14ac:dyDescent="0.3">
      <c r="B4" s="37" t="s">
        <v>54</v>
      </c>
      <c r="C4" s="37" t="s">
        <v>112</v>
      </c>
      <c r="D4" s="37" t="s">
        <v>113</v>
      </c>
      <c r="F4" s="37" t="s">
        <v>61</v>
      </c>
      <c r="G4" s="37" t="s">
        <v>112</v>
      </c>
      <c r="H4" s="37" t="s">
        <v>113</v>
      </c>
      <c r="J4" s="37" t="s">
        <v>53</v>
      </c>
      <c r="K4" s="37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37" t="s">
        <v>119</v>
      </c>
      <c r="C12" s="37" t="s">
        <v>120</v>
      </c>
      <c r="D12" s="37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algorithmName="SHA-512" hashValue="w76Qxg9HNGtXcfUu4B504uB7fGlpmw6WOFrlV8CRzAzqlbeisAmgg3r4f8HcjoFFyNVrbTUxCq7MWOEywQNf7Q==" saltValue="U5XWEkkKmEiIFgUtA7WACQ==" spinCount="100000" objects="1"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2026-09-13T14:19:48Z</dcterms:modified>
</cp:coreProperties>
</file>