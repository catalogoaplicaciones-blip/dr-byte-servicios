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E9284035-0C52-4397-9A55-8515A1015AE7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<sst xmlns="http://schemas.openxmlformats.org/spreadsheetml/2006/main" count="236" uniqueCount="159">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</sst>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10" borderId="0" xfId="0" applyFill="1" applyProtection="1"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9" fillId="8" borderId="1" xfId="0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5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127000</xdr:rowOff>
    </xdr:from>
    <xdr:to>
      <xdr:col>13</xdr:col>
      <xdr:colOff>365760</xdr:colOff>
      <xdr:row>3</xdr:row>
      <xdr:rowOff>137160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27000"/>
          <a:ext cx="9271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 fLocksWithSheet="0"/>
  </xdr:twoCellAnchor>
  <xdr:twoCellAnchor>
    <xdr:from>
      <xdr:col>4</xdr:col>
      <xdr:colOff>452120</xdr:colOff>
      <xdr:row>0</xdr:row>
      <xdr:rowOff>152400</xdr:rowOff>
    </xdr:from>
    <xdr:to>
      <xdr:col>8</xdr:col>
      <xdr:colOff>325120</xdr:colOff>
      <xdr:row>2</xdr:row>
      <xdr:rowOff>40640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2997200" y="152400"/>
          <a:ext cx="406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50" b="1">
              <a:solidFill>
                <a:srgbClr val="FFFFFF"/>
              </a:solidFill>
              <a:latin typeface="Segoe UI" panose="020B0502040204020203" pitchFamily="34" charset="0"/>
            </a:rPr>
            <a:t>DR. BYTE | Cuadro de Mando &amp; Ventas Pro</a:t>
          </a:r>
        </a:p>
      </xdr:txBody>
    </xdr:sp>
    <xdr:clientData fLocksWithSheet="0"/>
  </xdr:twoCellAnchor>
  <xdr:twoCellAnchor>
    <xdr:from>
      <xdr:col>7</xdr:col>
      <xdr:colOff>1155700</xdr:colOff>
      <xdr:row>0</xdr:row>
      <xdr:rowOff>127000</xdr:rowOff>
    </xdr:from>
    <xdr:to>
      <xdr:col>13</xdr:col>
      <xdr:colOff>175260</xdr:colOff>
      <xdr:row>1</xdr:row>
      <xdr:rowOff>109220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6604000" y="127000"/>
          <a:ext cx="48260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 fLocksWithSheet="0"/>
  </xdr:twoCellAnchor>
  <xdr:twoCellAnchor>
    <xdr:from>
      <xdr:col>7</xdr:col>
      <xdr:colOff>1155700</xdr:colOff>
      <xdr:row>1</xdr:row>
      <xdr:rowOff>109220</xdr:rowOff>
    </xdr:from>
    <xdr:to>
      <xdr:col>8</xdr:col>
      <xdr:colOff>680720</xdr:colOff>
      <xdr:row>3</xdr:row>
      <xdr:rowOff>22860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6604000" y="2921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8</xdr:col>
      <xdr:colOff>807720</xdr:colOff>
      <xdr:row>1</xdr:row>
      <xdr:rowOff>109220</xdr:rowOff>
    </xdr:from>
    <xdr:to>
      <xdr:col>10</xdr:col>
      <xdr:colOff>5080</xdr:colOff>
      <xdr:row>3</xdr:row>
      <xdr:rowOff>22860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543800" y="2921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10</xdr:col>
      <xdr:colOff>132080</xdr:colOff>
      <xdr:row>1</xdr:row>
      <xdr:rowOff>109220</xdr:rowOff>
    </xdr:from>
    <xdr:to>
      <xdr:col>10</xdr:col>
      <xdr:colOff>944880</xdr:colOff>
      <xdr:row>3</xdr:row>
      <xdr:rowOff>22860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483600" y="2921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10</xdr:col>
      <xdr:colOff>1071880</xdr:colOff>
      <xdr:row>1</xdr:row>
      <xdr:rowOff>109220</xdr:rowOff>
    </xdr:from>
    <xdr:to>
      <xdr:col>11</xdr:col>
      <xdr:colOff>596900</xdr:colOff>
      <xdr:row>3</xdr:row>
      <xdr:rowOff>22860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423400" y="2921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246380</xdr:colOff>
      <xdr:row>1</xdr:row>
      <xdr:rowOff>7620</xdr:rowOff>
    </xdr:from>
    <xdr:to>
      <xdr:col>4</xdr:col>
      <xdr:colOff>350520</xdr:colOff>
      <xdr:row>3</xdr:row>
      <xdr:rowOff>73660</xdr:rowOff>
    </xdr:to>
    <xdr:pic macro="AvisoMarcaDrByte"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800" y="190500"/>
          <a:ext cx="431800" cy="4318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4</xdr:col>
      <xdr:colOff>452120</xdr:colOff>
      <xdr:row>2</xdr:row>
      <xdr:rowOff>15240</xdr:rowOff>
    </xdr:from>
    <xdr:to>
      <xdr:col>8</xdr:col>
      <xdr:colOff>325120</xdr:colOff>
      <xdr:row>3</xdr:row>
      <xdr:rowOff>35560</xdr:rowOff>
    </xdr:to>
    <xdr:sp macro="AvisoMarcaDrByte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2997200" y="381000"/>
          <a:ext cx="4064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Tel: +34 607 35 39 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34" t="s">
        <v>131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</row>
    <row r="3" spans="2:13" ht="18" customHeight="1" x14ac:dyDescent="0.3">
      <c r="B3" s="35" t="s">
        <v>132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</row>
    <row r="5" spans="2:13" ht="24" customHeight="1" x14ac:dyDescent="0.3">
      <c r="B5" s="36" t="s">
        <v>133</v>
      </c>
      <c r="C5" s="36"/>
      <c r="D5" s="36"/>
      <c r="E5" s="36"/>
      <c r="G5" s="31" t="s">
        <v>142</v>
      </c>
      <c r="H5" s="31"/>
      <c r="I5" s="31"/>
      <c r="J5" s="31"/>
      <c r="L5" s="30" t="s">
        <v>152</v>
      </c>
      <c r="M5" s="30"/>
    </row>
    <row r="6" spans="2:13" x14ac:dyDescent="0.3">
      <c r="B6" s="14" t="s">
        <v>134</v>
      </c>
      <c r="C6" s="29" t="s">
        <v>135</v>
      </c>
      <c r="D6" s="29"/>
      <c r="E6" s="29"/>
      <c r="G6" s="14" t="s">
        <v>143</v>
      </c>
      <c r="H6" s="32">
        <f t="shared" ref="H6" ca="1" si="0">TODAY()</f>
        <v>46278</v>
      </c>
      <c r="I6" s="32"/>
      <c r="J6" s="32"/>
      <c r="L6" s="15" t="s">
        <v>153</v>
      </c>
      <c r="M6" s="16">
        <f>SUM(Ventas!L:L)</f>
        <v>23945.900000000005</v>
      </c>
    </row>
    <row r="7" spans="2:13" x14ac:dyDescent="0.3">
      <c r="B7" s="14" t="s">
        <v>136</v>
      </c>
      <c r="C7" s="29" t="s">
        <v>137</v>
      </c>
      <c r="D7" s="29"/>
      <c r="E7" s="29"/>
      <c r="G7" s="14" t="s">
        <v>144</v>
      </c>
      <c r="H7" s="29" t="s">
        <v>7</v>
      </c>
      <c r="I7" s="29"/>
      <c r="J7" s="29"/>
      <c r="L7" s="15" t="s">
        <v>154</v>
      </c>
      <c r="M7" s="17">
        <f>SUM(Ventas!I:I)</f>
        <v>19790</v>
      </c>
    </row>
    <row r="8" spans="2:13" x14ac:dyDescent="0.3">
      <c r="B8" s="14" t="s">
        <v>138</v>
      </c>
      <c r="C8" s="29">
        <v>915554433</v>
      </c>
      <c r="D8" s="29"/>
      <c r="E8" s="29"/>
      <c r="G8" s="14" t="s">
        <v>145</v>
      </c>
      <c r="H8" s="29" t="s">
        <v>146</v>
      </c>
      <c r="I8" s="29"/>
      <c r="J8" s="29"/>
      <c r="L8" s="15" t="s">
        <v>155</v>
      </c>
      <c r="M8" s="17">
        <f>SUM(Ventas!K:K)</f>
        <v>4155.8999999999996</v>
      </c>
    </row>
    <row r="9" spans="2:13" x14ac:dyDescent="0.3">
      <c r="B9" s="14" t="s">
        <v>139</v>
      </c>
      <c r="C9" s="29" t="s">
        <v>140</v>
      </c>
      <c r="D9" s="29"/>
      <c r="E9" s="29"/>
      <c r="G9" s="14" t="s">
        <v>147</v>
      </c>
      <c r="H9" s="29" t="s">
        <v>64</v>
      </c>
      <c r="I9" s="29"/>
      <c r="J9" s="29"/>
      <c r="L9" s="15" t="s">
        <v>156</v>
      </c>
      <c r="M9" s="18">
        <f>COUNTA(Ventas!A:A)-1</f>
        <v>16</v>
      </c>
    </row>
    <row r="10" spans="2:13" x14ac:dyDescent="0.3">
      <c r="B10" s="14" t="s">
        <v>141</v>
      </c>
      <c r="C10" s="29" t="s">
        <v>11</v>
      </c>
      <c r="D10" s="29"/>
      <c r="E10" s="29"/>
      <c r="G10" s="14" t="s">
        <v>148</v>
      </c>
      <c r="H10" s="33">
        <v>1</v>
      </c>
      <c r="I10" s="33"/>
      <c r="J10" s="33"/>
      <c r="L10" s="15" t="s">
        <v>157</v>
      </c>
      <c r="M10" s="18">
        <f>COUNTA(Clientes!A:A)-1</f>
        <v>8</v>
      </c>
    </row>
    <row r="11" spans="2:13" x14ac:dyDescent="0.3">
      <c r="G11" s="14" t="s">
        <v>149</v>
      </c>
      <c r="H11" s="27">
        <v>2450</v>
      </c>
      <c r="I11" s="27"/>
      <c r="J11" s="27"/>
      <c r="L11" s="15" t="s">
        <v>158</v>
      </c>
      <c r="M11" s="19">
        <f>IF(M9&gt;0, M6/M9, 0)</f>
        <v>1496.6187500000003</v>
      </c>
    </row>
    <row r="12" spans="2:13" x14ac:dyDescent="0.3">
      <c r="G12" s="14" t="s">
        <v>150</v>
      </c>
      <c r="H12" s="28">
        <v>0.21</v>
      </c>
      <c r="I12" s="28"/>
      <c r="J12" s="28"/>
    </row>
    <row r="13" spans="2:13" x14ac:dyDescent="0.3">
      <c r="G13" s="14" t="s">
        <v>151</v>
      </c>
      <c r="H13" s="29" t="s">
        <v>65</v>
      </c>
      <c r="I13" s="29"/>
      <c r="J13" s="29"/>
    </row>
  </sheetData>
  <sheetProtection formatCells="0" formatColumns="0" formatRows="0" insertColumns="0" insertRows="0" insertHyperlinks="0" deleteColumns="0" deleteRows="0" sort="0" autoFilter="0" pivotTables="0"/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21" t="s">
        <v>50</v>
      </c>
      <c r="B1" s="22" t="s">
        <v>51</v>
      </c>
      <c r="C1" s="21" t="s">
        <v>0</v>
      </c>
      <c r="D1" s="21" t="s">
        <v>52</v>
      </c>
      <c r="E1" s="21" t="s">
        <v>53</v>
      </c>
      <c r="F1" s="21" t="s">
        <v>54</v>
      </c>
      <c r="G1" s="23" t="s">
        <v>55</v>
      </c>
      <c r="H1" s="24" t="s">
        <v>56</v>
      </c>
      <c r="I1" s="24" t="s">
        <v>57</v>
      </c>
      <c r="J1" s="25" t="s">
        <v>58</v>
      </c>
      <c r="K1" s="24" t="s">
        <v>59</v>
      </c>
      <c r="L1" s="24" t="s">
        <v>60</v>
      </c>
      <c r="M1" s="2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26" t="s">
        <v>54</v>
      </c>
      <c r="C4" s="26" t="s">
        <v>112</v>
      </c>
      <c r="D4" s="26" t="s">
        <v>113</v>
      </c>
      <c r="F4" s="26" t="s">
        <v>61</v>
      </c>
      <c r="G4" s="26" t="s">
        <v>112</v>
      </c>
      <c r="H4" s="26" t="s">
        <v>113</v>
      </c>
      <c r="J4" s="26" t="s">
        <v>53</v>
      </c>
      <c r="K4" s="26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26" t="s">
        <v>119</v>
      </c>
      <c r="C12" s="26" t="s">
        <v>120</v>
      </c>
      <c r="D12" s="26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2026-09-13T14:27:54Z</dcterms:modified>
</cp:coreProperties>
</file>