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S IA APPS\GESTIONESWEBNEW\"/>
    </mc:Choice>
  </mc:AlternateContent>
  <xr:revisionPtr revIDLastSave="0" documentId="13_ncr:1_{0112AAE3-BF49-48D3-BAF4-5A578D973CD5}" xr6:coauthVersionLast="47" xr6:coauthVersionMax="47" xr10:uidLastSave="{00000000-0000-0000-0000-000000000000}"/>
  <bookViews>
    <workbookView xWindow="-108" yWindow="-108" windowWidth="23256" windowHeight="13896" xr2:uid="{95980C9B-4059-42BF-A84E-8EF36E124176}"/>
  </bookViews>
  <sheets>
    <sheet name="Dashboard" sheetId="1" r:id="rId1"/>
    <sheet name="Panel de Control" sheetId="2" r:id="rId2"/>
    <sheet name="Clientes" sheetId="3" r:id="rId3"/>
    <sheet name="Ventas" sheetId="4" r:id="rId4"/>
    <sheet name="Resumen y Totales" sheetId="5" r:id="rId5"/>
  </sheets>
  <definedNames>
    <definedName name="_xlnm._FilterDatabase" localSheetId="3" hidden="1">Ventas!$A$1:$M$17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11" i="2" l="1"/>
  <c r="M10" i="2"/>
  <c r="M9" i="2"/>
  <c r="M8" i="2"/>
  <c r="M7" i="2"/>
  <c r="M6" i="2"/>
  <c r="H6" i="2"/>
  <c r="G14" i="5"/>
  <c r="G13" i="5"/>
  <c r="H8" i="5"/>
  <c r="G8" i="5"/>
  <c r="H7" i="5"/>
  <c r="G7" i="5"/>
  <c r="H6" i="5"/>
  <c r="G6" i="5"/>
  <c r="H5" i="5"/>
  <c r="G5" i="5"/>
  <c r="D8" i="5"/>
  <c r="C8" i="5"/>
  <c r="D7" i="5"/>
  <c r="C7" i="5"/>
  <c r="D6" i="5"/>
  <c r="C6" i="5"/>
  <c r="D5" i="5"/>
  <c r="C5" i="5"/>
  <c r="L17" i="4"/>
  <c r="K17" i="4"/>
  <c r="I17" i="4"/>
  <c r="L16" i="4"/>
  <c r="K16" i="4"/>
  <c r="I16" i="4"/>
  <c r="L15" i="4"/>
  <c r="K15" i="4"/>
  <c r="I15" i="4"/>
  <c r="L14" i="4"/>
  <c r="K14" i="4"/>
  <c r="I14" i="4"/>
  <c r="L13" i="4"/>
  <c r="K13" i="4"/>
  <c r="I13" i="4"/>
  <c r="L12" i="4"/>
  <c r="K12" i="4"/>
  <c r="I12" i="4"/>
  <c r="L11" i="4"/>
  <c r="K11" i="4"/>
  <c r="I11" i="4"/>
  <c r="L10" i="4"/>
  <c r="K10" i="4"/>
  <c r="I10" i="4"/>
  <c r="L9" i="4"/>
  <c r="K9" i="4"/>
  <c r="I9" i="4"/>
  <c r="L8" i="4"/>
  <c r="K8" i="4"/>
  <c r="I8" i="4"/>
  <c r="L7" i="4"/>
  <c r="K7" i="4"/>
  <c r="I7" i="4"/>
  <c r="L6" i="4"/>
  <c r="K6" i="4"/>
  <c r="I6" i="4"/>
  <c r="L5" i="4"/>
  <c r="K5" i="4"/>
  <c r="I5" i="4"/>
  <c r="L4" i="4"/>
  <c r="K4" i="4"/>
  <c r="I4" i="4"/>
  <c r="L3" i="4"/>
  <c r="K3" i="4"/>
  <c r="I3" i="4"/>
  <c r="L2" i="4"/>
  <c r="K2" i="4"/>
  <c r="I2" i="4"/>
</calcChain>
</file>

<file path=xl/sharedStrings.xml><?xml version="1.0" encoding="utf-8"?>
<sst xmlns="http://schemas.openxmlformats.org/spreadsheetml/2006/main" count="236" uniqueCount="159">
  <si>
    <t>ID CLIENTE</t>
  </si>
  <si>
    <t>NIF / CIF</t>
  </si>
  <si>
    <t>NOMBRE O RAZON SOCIAL</t>
  </si>
  <si>
    <t>TELEFONO</t>
  </si>
  <si>
    <t>EMAIL</t>
  </si>
  <si>
    <t>CIUDAD</t>
  </si>
  <si>
    <t>FECHA ALTA</t>
  </si>
  <si>
    <t>CLI-001</t>
  </si>
  <si>
    <t>B87654321</t>
  </si>
  <si>
    <t>Tecnologias Avanzadas Iberica S.L.</t>
  </si>
  <si>
    <t>info@tecnoiberica.es</t>
  </si>
  <si>
    <t>Madrid</t>
  </si>
  <si>
    <t>CLI-002</t>
  </si>
  <si>
    <t>A12345678</t>
  </si>
  <si>
    <t>Distribuciones Cantabrico S.A.</t>
  </si>
  <si>
    <t>compras@cantabrico.es</t>
  </si>
  <si>
    <t>Santander</t>
  </si>
  <si>
    <t>15/01/2026</t>
  </si>
  <si>
    <t>CLI-003</t>
  </si>
  <si>
    <t>B99887766</t>
  </si>
  <si>
    <t>Soluciones Digitales del Sur S.L.</t>
  </si>
  <si>
    <t>administracion@delsur.es</t>
  </si>
  <si>
    <t>Sevilla</t>
  </si>
  <si>
    <t>CLI-004</t>
  </si>
  <si>
    <t>B81234567</t>
  </si>
  <si>
    <t>Consultoria &amp; Cloud Mediterraneo S.L.</t>
  </si>
  <si>
    <t>contacto@cloudmed.es</t>
  </si>
  <si>
    <t>Valencia</t>
  </si>
  <si>
    <t>CLI-005</t>
  </si>
  <si>
    <t>A98765432</t>
  </si>
  <si>
    <t>Redes &amp; Infraestructuras Bilbao S.A.</t>
  </si>
  <si>
    <t>proyectos@redesbilbao.es</t>
  </si>
  <si>
    <t>Bilbao</t>
  </si>
  <si>
    <t>20/02/2026</t>
  </si>
  <si>
    <t>CLI-006</t>
  </si>
  <si>
    <t>B50123456</t>
  </si>
  <si>
    <t>Logistica Integral Aragonesa S.L.</t>
  </si>
  <si>
    <t>sistemas@logaragon.es</t>
  </si>
  <si>
    <t>Zaragoza</t>
  </si>
  <si>
    <t>25/02/2026</t>
  </si>
  <si>
    <t>CLI-007</t>
  </si>
  <si>
    <t>A36123456</t>
  </si>
  <si>
    <t>Grupo Industrial Gallego S.A.</t>
  </si>
  <si>
    <t>compras@gigsa.es</t>
  </si>
  <si>
    <t>Vigo</t>
  </si>
  <si>
    <t>CLI-008</t>
  </si>
  <si>
    <t>B38123456</t>
  </si>
  <si>
    <t>Innovacion Tecnologica Insular S.L.</t>
  </si>
  <si>
    <t>info@innovainsular.es</t>
  </si>
  <si>
    <t>Tenerife</t>
  </si>
  <si>
    <t>ID VENTA</t>
  </si>
  <si>
    <t>FECHA</t>
  </si>
  <si>
    <t>CLIENTE</t>
  </si>
  <si>
    <t>CONCEPTO / PRODUCTO</t>
  </si>
  <si>
    <t>CATEGORIA</t>
  </si>
  <si>
    <t>CANTIDAD</t>
  </si>
  <si>
    <t>PRECIO UNIT.</t>
  </si>
  <si>
    <t>SUBTOTAL</t>
  </si>
  <si>
    <t>IVA %</t>
  </si>
  <si>
    <t>CUOTA IVA</t>
  </si>
  <si>
    <t>TOTAL VENTA</t>
  </si>
  <si>
    <t>FORMA PAGO</t>
  </si>
  <si>
    <t>VTA-001</t>
  </si>
  <si>
    <t>Servidor Rack 2U Dell PowerEdge</t>
  </si>
  <si>
    <t>Hardware</t>
  </si>
  <si>
    <t>Transferencia</t>
  </si>
  <si>
    <t>VTA-002</t>
  </si>
  <si>
    <t>20/01/2026</t>
  </si>
  <si>
    <t>Auditoria de Seguridad &amp; Pentesting</t>
  </si>
  <si>
    <t>Servicios</t>
  </si>
  <si>
    <t>VTA-003</t>
  </si>
  <si>
    <t>Licencia Anual Firewall Fortinet</t>
  </si>
  <si>
    <t>Software</t>
  </si>
  <si>
    <t>Tarjeta</t>
  </si>
  <si>
    <t>VTA-004</t>
  </si>
  <si>
    <t>18/02/2026</t>
  </si>
  <si>
    <t>Mantenimiento Preventivo Redes Q1</t>
  </si>
  <si>
    <t>Mantenimiento</t>
  </si>
  <si>
    <t>VTA-005</t>
  </si>
  <si>
    <t>22/02/2026</t>
  </si>
  <si>
    <t>Switch Gestionable Cisco Catalyst</t>
  </si>
  <si>
    <t>VTA-006</t>
  </si>
  <si>
    <t>Migracion Cloud Azure &amp; Backup</t>
  </si>
  <si>
    <t>VTA-007</t>
  </si>
  <si>
    <t>Endpoint Security EDR (50 Lic)</t>
  </si>
  <si>
    <t>VTA-008</t>
  </si>
  <si>
    <t>Punto Acceso WiFi 6 Meraki</t>
  </si>
  <si>
    <t>VTA-009</t>
  </si>
  <si>
    <t>Consultoria Cumplimiento ENS / ISO</t>
  </si>
  <si>
    <t>VTA-010</t>
  </si>
  <si>
    <t>Cableado Estructurado Cat6A Rack</t>
  </si>
  <si>
    <t>Efectivo</t>
  </si>
  <si>
    <t>VTA-011</t>
  </si>
  <si>
    <t>15/03/2026</t>
  </si>
  <si>
    <t>SAI Online Doble Conversion 3kVA</t>
  </si>
  <si>
    <t>VTA-012</t>
  </si>
  <si>
    <t>18/03/2026</t>
  </si>
  <si>
    <t>Soporte Tecnico Remoto 24/7</t>
  </si>
  <si>
    <t>Bizum</t>
  </si>
  <si>
    <t>VTA-013</t>
  </si>
  <si>
    <t>22/03/2026</t>
  </si>
  <si>
    <t>Certificados SSL Wildcard EV</t>
  </si>
  <si>
    <t>VTA-014</t>
  </si>
  <si>
    <t>26/03/2026</t>
  </si>
  <si>
    <t>Mantenimiento Servidores Q1</t>
  </si>
  <si>
    <t>VTA-015</t>
  </si>
  <si>
    <t>29/03/2026</t>
  </si>
  <si>
    <t>Configuracion VPN IPsec Corporativa</t>
  </si>
  <si>
    <t>VTA-016</t>
  </si>
  <si>
    <t>31/03/2026</t>
  </si>
  <si>
    <t>Licencia Microsoft 365 Business</t>
  </si>
  <si>
    <t>TABLAS DE APOYO PARA INDICADORES Y GRAFICOS DEL DASHBOARD</t>
  </si>
  <si>
    <t>Nº VENTAS</t>
  </si>
  <si>
    <t>TOTAL FACTURADO</t>
  </si>
  <si>
    <t>Servidor Dell 2U</t>
  </si>
  <si>
    <t>Endpoint EDR 50L</t>
  </si>
  <si>
    <t>Cloud Azure Migr.</t>
  </si>
  <si>
    <t>Switch Cisco 48p</t>
  </si>
  <si>
    <t>M365 Business</t>
  </si>
  <si>
    <t>PERIODO</t>
  </si>
  <si>
    <t>Directo / Transf.</t>
  </si>
  <si>
    <t>Online / Tarjeta</t>
  </si>
  <si>
    <t>18-25 Ene</t>
  </si>
  <si>
    <t>26-35 Feb</t>
  </si>
  <si>
    <t>36-45 Mar</t>
  </si>
  <si>
    <t>46-55 Abr</t>
  </si>
  <si>
    <t>56+ May</t>
  </si>
  <si>
    <t>COMPONENTE</t>
  </si>
  <si>
    <t>IMPORTE</t>
  </si>
  <si>
    <t>Base Imponible</t>
  </si>
  <si>
    <t>Cuota IVA</t>
  </si>
  <si>
    <t>SISTEMA INTEGRAL DE GESTION: REGISTRO DE CLIENTES, VENTAS Y TOTALES</t>
  </si>
  <si>
    <t>Panel de automatizacion empresarial con macros VBA - Control y Calculos en tiempo real</t>
  </si>
  <si>
    <t>👤 NUEVO CLIENTE (FORMULARIO)</t>
  </si>
  <si>
    <t>NIF / CIF:</t>
  </si>
  <si>
    <t>B99445566</t>
  </si>
  <si>
    <t>Razon Social / Nombre:</t>
  </si>
  <si>
    <t>Sistemas Cloud &amp; Ciberseguridad Iberia S.L.</t>
  </si>
  <si>
    <t>Telefono:</t>
  </si>
  <si>
    <t>Email:</t>
  </si>
  <si>
    <t>administracion@cloudiberia.es</t>
  </si>
  <si>
    <t>Ciudad:</t>
  </si>
  <si>
    <t>🛒 NUEVA VENTA (FORMULARIO)</t>
  </si>
  <si>
    <t>Fecha (dd/mm/aaaa):</t>
  </si>
  <si>
    <t>ID o Nombre Cliente:</t>
  </si>
  <si>
    <t>Concepto / Producto:</t>
  </si>
  <si>
    <t>Implantación Firewall NGFW Fortinet 100F</t>
  </si>
  <si>
    <t>Categoria:</t>
  </si>
  <si>
    <t>Cantidad:</t>
  </si>
  <si>
    <t>Precio Unitario (EUR):</t>
  </si>
  <si>
    <t>Tipo IVA (%):</t>
  </si>
  <si>
    <t>Metodo de Pago:</t>
  </si>
  <si>
    <t>📊 TOTALES Y KPIS</t>
  </si>
  <si>
    <t>TOTAL FACTURADO:</t>
  </si>
  <si>
    <t>BASE IMPONIBLE:</t>
  </si>
  <si>
    <t>TOTAL IVA REPERCUTIDO:</t>
  </si>
  <si>
    <t>NUMERO TOTAL VENTAS:</t>
  </si>
  <si>
    <t>CLIENTES REGISTRADOS:</t>
  </si>
  <si>
    <t>TICKET MEDIO / VENTA: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</si>
</sst>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\y\y\y\y"/>
    <numFmt numFmtId="165" formatCode="#.##0"/>
    <numFmt numFmtId="166" formatCode="#.##000\ &quot;€&quot;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Segoe UI"/>
      <family val="2"/>
    </font>
    <font>
      <sz val="10"/>
      <color theme="1"/>
      <name val="Segoe UI"/>
      <family val="2"/>
    </font>
    <font>
      <b/>
      <sz val="12"/>
      <color rgb="FFFFFFFF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i/>
      <sz val="9"/>
      <color rgb="FFFFFFFF"/>
      <name val="Aptos Narrow"/>
      <family val="2"/>
      <scheme val="minor"/>
    </font>
    <font>
      <b/>
      <sz val="10"/>
      <color rgb="FF333333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rgb="FF555555"/>
      <name val="Aptos Narrow"/>
      <family val="2"/>
      <scheme val="minor"/>
    </font>
    <font>
      <b/>
      <sz val="11"/>
      <color rgb="FF417C1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rgb="FF11328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90441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112266"/>
        <bgColor indexed="64"/>
      </patternFill>
    </fill>
    <fill>
      <patternFill patternType="solid">
        <fgColor rgb="FF11328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0F1F6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14" fontId="4" fillId="0" borderId="0" xfId="0" applyNumberFormat="1" applyFont="1" applyAlignment="1" applyProtection="1">
      <alignment horizontal="center"/>
      <protection locked="0"/>
    </xf>
    <xf numFmtId="164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166" fontId="4" fillId="0" borderId="0" xfId="0" applyNumberFormat="1" applyFont="1" applyProtection="1">
      <protection locked="0"/>
    </xf>
    <xf numFmtId="9" fontId="4" fillId="0" borderId="0" xfId="0" applyNumberFormat="1" applyFont="1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10" borderId="0" xfId="0" applyFill="1" applyProtection="1">
      <protection locked="0"/>
    </xf>
    <xf numFmtId="0" fontId="8" fillId="0" borderId="0" xfId="0" applyFont="1" applyProtection="1">
      <protection locked="0"/>
    </xf>
    <xf numFmtId="0" fontId="10" fillId="0" borderId="0" xfId="0" applyFont="1" applyAlignment="1" applyProtection="1">
      <alignment vertical="center"/>
      <protection locked="0"/>
    </xf>
    <xf numFmtId="166" fontId="11" fillId="9" borderId="2" xfId="0" applyNumberFormat="1" applyFont="1" applyFill="1" applyBorder="1" applyAlignment="1" applyProtection="1">
      <alignment horizontal="right"/>
      <protection locked="0"/>
    </xf>
    <xf numFmtId="166" fontId="12" fillId="9" borderId="2" xfId="0" applyNumberFormat="1" applyFont="1" applyFill="1" applyBorder="1" applyAlignment="1" applyProtection="1">
      <alignment horizontal="right"/>
      <protection locked="0"/>
    </xf>
    <xf numFmtId="165" fontId="12" fillId="9" borderId="2" xfId="0" applyNumberFormat="1" applyFont="1" applyFill="1" applyBorder="1" applyAlignment="1" applyProtection="1">
      <alignment horizontal="right"/>
      <protection locked="0"/>
    </xf>
    <xf numFmtId="166" fontId="13" fillId="9" borderId="2" xfId="0" applyNumberFormat="1" applyFont="1" applyFill="1" applyBorder="1" applyAlignment="1" applyProtection="1">
      <alignment horizontal="right"/>
      <protection locked="0"/>
    </xf>
    <xf numFmtId="0" fontId="3" fillId="2" borderId="0" xfId="0" applyFont="1" applyFill="1" applyAlignment="1" applyProtection="1">
      <alignment horizontal="center"/>
      <protection locked="0"/>
    </xf>
    <xf numFmtId="0" fontId="3" fillId="3" borderId="0" xfId="0" applyFont="1" applyFill="1" applyAlignment="1" applyProtection="1">
      <alignment horizontal="center"/>
      <protection locked="0"/>
    </xf>
    <xf numFmtId="164" fontId="3" fillId="3" borderId="0" xfId="0" applyNumberFormat="1" applyFont="1" applyFill="1" applyAlignment="1" applyProtection="1">
      <alignment horizontal="center"/>
      <protection locked="0"/>
    </xf>
    <xf numFmtId="165" fontId="3" fillId="3" borderId="0" xfId="0" applyNumberFormat="1" applyFont="1" applyFill="1" applyAlignment="1" applyProtection="1">
      <alignment horizontal="center"/>
      <protection locked="0"/>
    </xf>
    <xf numFmtId="166" fontId="3" fillId="3" borderId="0" xfId="0" applyNumberFormat="1" applyFont="1" applyFill="1" applyAlignment="1" applyProtection="1">
      <alignment horizontal="center"/>
      <protection locked="0"/>
    </xf>
    <xf numFmtId="9" fontId="3" fillId="3" borderId="0" xfId="0" applyNumberFormat="1" applyFont="1" applyFill="1" applyAlignment="1" applyProtection="1">
      <alignment horizontal="center"/>
      <protection locked="0"/>
    </xf>
    <xf numFmtId="0" fontId="1" fillId="5" borderId="0" xfId="0" applyFont="1" applyFill="1" applyProtection="1">
      <protection locked="0"/>
    </xf>
    <xf numFmtId="0" fontId="6" fillId="6" borderId="0" xfId="0" applyFont="1" applyFill="1" applyAlignment="1" applyProtection="1">
      <alignment horizontal="center"/>
      <protection locked="0"/>
    </xf>
    <xf numFmtId="0" fontId="7" fillId="7" borderId="0" xfId="0" applyFont="1" applyFill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9" fillId="8" borderId="1" xfId="0" applyFont="1" applyFill="1" applyBorder="1" applyProtection="1">
      <protection locked="0"/>
    </xf>
    <xf numFmtId="166" fontId="9" fillId="8" borderId="1" xfId="0" applyNumberFormat="1" applyFont="1" applyFill="1" applyBorder="1" applyProtection="1">
      <protection locked="0"/>
    </xf>
    <xf numFmtId="9" fontId="9" fillId="8" borderId="1" xfId="0" applyNumberFormat="1" applyFont="1" applyFill="1" applyBorder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164" fontId="9" fillId="8" borderId="1" xfId="0" applyNumberFormat="1" applyFont="1" applyFill="1" applyBorder="1" applyProtection="1">
      <protection locked="0"/>
    </xf>
    <xf numFmtId="165" fontId="9" fillId="8" borderId="1" xfId="0" applyNumberFormat="1" applyFont="1" applyFill="1" applyBorder="1" applyProtection="1">
      <protection locked="0"/>
    </xf>
    <xf numFmtId="0" fontId="5" fillId="4" borderId="0" xfId="0" applyFont="1" applyFill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F0-4DBB-BC38-8F9B2C8F6B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BB-4904-B057-92E821DB8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Totales'!$K$4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Totales'!$J$5:$J$9</c:f>
              <c:strCache>
                <c:ptCount val="5"/>
                <c:pt idx="0">
                  <c:v>Servidor Dell 2U</c:v>
                </c:pt>
                <c:pt idx="1">
                  <c:v>Endpoint EDR 50L</c:v>
                </c:pt>
                <c:pt idx="2">
                  <c:v>Cloud Azure Migr.</c:v>
                </c:pt>
                <c:pt idx="3">
                  <c:v>Switch Cisco 48p</c:v>
                </c:pt>
                <c:pt idx="4">
                  <c:v>M365 Business</c:v>
                </c:pt>
              </c:strCache>
            </c:strRef>
          </c:cat>
          <c:val>
            <c:numRef>
              <c:f>'Resumen y Totales'!$K$5:$K$9</c:f>
              <c:numCache>
                <c:formatCode>#.##000\ "€"</c:formatCode>
                <c:ptCount val="5"/>
                <c:pt idx="0">
                  <c:v>3509</c:v>
                </c:pt>
                <c:pt idx="1">
                  <c:v>2722.5</c:v>
                </c:pt>
                <c:pt idx="2">
                  <c:v>2238.5</c:v>
                </c:pt>
                <c:pt idx="3">
                  <c:v>2153.8000000000002</c:v>
                </c:pt>
                <c:pt idx="4">
                  <c:v>2178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1D-4FDE-8548-FF276AD06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3115839"/>
        <c:axId val="550315599"/>
      </c:barChart>
      <c:catAx>
        <c:axId val="5431158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50315599"/>
        <c:crosses val="autoZero"/>
        <c:auto val="1"/>
        <c:lblAlgn val="ctr"/>
        <c:lblOffset val="100"/>
        <c:noMultiLvlLbl val="0"/>
      </c:catAx>
      <c:valAx>
        <c:axId val="550315599"/>
        <c:scaling>
          <c:orientation val="minMax"/>
        </c:scaling>
        <c:delete val="0"/>
        <c:axPos val="b"/>
        <c:majorGridlines/>
        <c:numFmt formatCode="#.##000\ &quot;€&quot;" sourceLinked="1"/>
        <c:majorTickMark val="out"/>
        <c:minorTickMark val="none"/>
        <c:tickLblPos val="nextTo"/>
        <c:crossAx val="54311583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y Totales'!$C$12</c:f>
              <c:strCache>
                <c:ptCount val="1"/>
                <c:pt idx="0">
                  <c:v>Directo / Transf.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Totales'!$C$13:$C$17</c:f>
              <c:numCache>
                <c:formatCode>General</c:formatCode>
                <c:ptCount val="5"/>
                <c:pt idx="0">
                  <c:v>130</c:v>
                </c:pt>
                <c:pt idx="1">
                  <c:v>311</c:v>
                </c:pt>
                <c:pt idx="2">
                  <c:v>344</c:v>
                </c:pt>
                <c:pt idx="3">
                  <c:v>367</c:v>
                </c:pt>
                <c:pt idx="4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CE-40F3-846D-E24E47980A7D}"/>
            </c:ext>
          </c:extLst>
        </c:ser>
        <c:ser>
          <c:idx val="1"/>
          <c:order val="1"/>
          <c:tx>
            <c:strRef>
              <c:f>'Resumen y Totales'!$D$12</c:f>
              <c:strCache>
                <c:ptCount val="1"/>
                <c:pt idx="0">
                  <c:v>Online / Tarjeta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Totales'!$D$13:$D$17</c:f>
              <c:numCache>
                <c:formatCode>General</c:formatCode>
                <c:ptCount val="5"/>
                <c:pt idx="0">
                  <c:v>212</c:v>
                </c:pt>
                <c:pt idx="1">
                  <c:v>552</c:v>
                </c:pt>
                <c:pt idx="2">
                  <c:v>578</c:v>
                </c:pt>
                <c:pt idx="3">
                  <c:v>572</c:v>
                </c:pt>
                <c:pt idx="4">
                  <c:v>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CE-40F3-846D-E24E47980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1879727"/>
        <c:axId val="661884047"/>
      </c:barChart>
      <c:catAx>
        <c:axId val="66187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61884047"/>
        <c:crosses val="autoZero"/>
        <c:auto val="1"/>
        <c:lblAlgn val="ctr"/>
        <c:lblOffset val="100"/>
        <c:noMultiLvlLbl val="0"/>
      </c:catAx>
      <c:valAx>
        <c:axId val="66188404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1879727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Totales'!$G$4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Totales'!$G$5:$G$8</c:f>
              <c:numCache>
                <c:formatCode>General</c:formatCode>
                <c:ptCount val="4"/>
                <c:pt idx="0">
                  <c:v>7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30-4872-9596-2B3C6FCEE972}"/>
            </c:ext>
          </c:extLst>
        </c:ser>
        <c:ser>
          <c:idx val="1"/>
          <c:order val="1"/>
          <c:tx>
            <c:strRef>
              <c:f>'Resumen y Totales'!$H$4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Totales'!$H$5:$H$8</c:f>
              <c:numCache>
                <c:formatCode>#.##000\ "€"</c:formatCode>
                <c:ptCount val="4"/>
                <c:pt idx="0">
                  <c:v>11954.8</c:v>
                </c:pt>
                <c:pt idx="1">
                  <c:v>9571.0999999999985</c:v>
                </c:pt>
                <c:pt idx="2">
                  <c:v>907.5</c:v>
                </c:pt>
                <c:pt idx="3">
                  <c:v>1512.5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30-4872-9596-2B3C6FCEE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D-431C-A36C-C73B291E2D00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5D-431C-A36C-C73B291E2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1874927"/>
        <c:axId val="661876847"/>
      </c:barChart>
      <c:catAx>
        <c:axId val="6618749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61876847"/>
        <c:crosses val="autoZero"/>
        <c:auto val="1"/>
        <c:lblAlgn val="ctr"/>
        <c:lblOffset val="100"/>
        <c:noMultiLvlLbl val="0"/>
      </c:catAx>
      <c:valAx>
        <c:axId val="66187684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66187492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1-499F-AC14-F766C2E18DF1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91-499F-AC14-F766C2E18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jpe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127000</xdr:rowOff>
    </xdr:from>
    <xdr:to>
      <xdr:col>14</xdr:col>
      <xdr:colOff>508000</xdr:colOff>
      <xdr:row>3</xdr:row>
      <xdr:rowOff>162560</xdr:rowOff>
    </xdr:to>
    <xdr:sp macro="" textlink="">
      <xdr:nvSpPr>
        <xdr:cNvPr id="2" name="HeaderBanner">
          <a:extLst>
            <a:ext uri="{FF2B5EF4-FFF2-40B4-BE49-F238E27FC236}">
              <a16:creationId xmlns:a16="http://schemas.microsoft.com/office/drawing/2014/main" id="{A198E587-D537-459D-A2DB-2E156E054727}"/>
            </a:ext>
          </a:extLst>
        </xdr:cNvPr>
        <xdr:cNvSpPr/>
      </xdr:nvSpPr>
      <xdr:spPr>
        <a:xfrm>
          <a:off x="228600" y="127000"/>
          <a:ext cx="12547600" cy="584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22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297180</xdr:colOff>
      <xdr:row>1</xdr:row>
      <xdr:rowOff>96520</xdr:rowOff>
    </xdr:from>
    <xdr:to>
      <xdr:col>4</xdr:col>
      <xdr:colOff>655320</xdr:colOff>
      <xdr:row>5</xdr:row>
      <xdr:rowOff>50800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073533B2-6C00-FC31-EC1C-96A4828C73F2}"/>
            </a:ext>
          </a:extLst>
        </xdr:cNvPr>
        <xdr:cNvSpPr/>
      </xdr:nvSpPr>
      <xdr:spPr>
        <a:xfrm>
          <a:off x="2514600" y="279400"/>
          <a:ext cx="685800" cy="685800"/>
        </a:xfrm>
        <a:prstGeom prst="ellipse">
          <a:avLst/>
        </a:prstGeom>
        <a:solidFill>
          <a:srgbClr val="FFFFFF"/>
        </a:solidFill>
        <a:ln w="38100">
          <a:solidFill>
            <a:srgbClr val="0E8BD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000"/>
            <a:t>🌐</a:t>
          </a:r>
        </a:p>
      </xdr:txBody>
    </xdr:sp>
    <xdr:clientData fLocksWithSheet="0"/>
  </xdr:twoCellAnchor>
  <xdr:twoCellAnchor>
    <xdr:from>
      <xdr:col>1</xdr:col>
      <xdr:colOff>165100</xdr:colOff>
      <xdr:row>0</xdr:row>
      <xdr:rowOff>177800</xdr:rowOff>
    </xdr:from>
    <xdr:to>
      <xdr:col>5</xdr:col>
      <xdr:colOff>586740</xdr:colOff>
      <xdr:row>2</xdr:row>
      <xdr:rowOff>116840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F30C2DEA-08DD-7F37-7E70-CA74FCA8FC99}"/>
            </a:ext>
          </a:extLst>
        </xdr:cNvPr>
        <xdr:cNvSpPr txBox="1"/>
      </xdr:nvSpPr>
      <xdr:spPr>
        <a:xfrm>
          <a:off x="355600" y="177800"/>
          <a:ext cx="4064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300" b="1">
              <a:solidFill>
                <a:srgbClr val="FFFFFF"/>
              </a:solidFill>
              <a:latin typeface="Segoe UI" panose="020B0502040204020203" pitchFamily="34" charset="0"/>
            </a:rPr>
            <a:t>CUADRO DE MANDO &amp; VENTAS PRO</a:t>
          </a:r>
        </a:p>
      </xdr:txBody>
    </xdr:sp>
    <xdr:clientData fLocksWithSheet="0"/>
  </xdr:twoCellAnchor>
  <xdr:twoCellAnchor>
    <xdr:from>
      <xdr:col>5</xdr:col>
      <xdr:colOff>739140</xdr:colOff>
      <xdr:row>0</xdr:row>
      <xdr:rowOff>139700</xdr:rowOff>
    </xdr:from>
    <xdr:to>
      <xdr:col>7</xdr:col>
      <xdr:colOff>266700</xdr:colOff>
      <xdr:row>1</xdr:row>
      <xdr:rowOff>134620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636928B6-B745-28E5-AC46-498283E3F194}"/>
            </a:ext>
          </a:extLst>
        </xdr:cNvPr>
        <xdr:cNvSpPr txBox="1"/>
      </xdr:nvSpPr>
      <xdr:spPr>
        <a:xfrm>
          <a:off x="4572000" y="139700"/>
          <a:ext cx="1143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750" b="1">
              <a:solidFill>
                <a:srgbClr val="0E8BD7"/>
              </a:solidFill>
              <a:latin typeface="Segoe UI" panose="020B0502040204020203" pitchFamily="34" charset="0"/>
            </a:rPr>
            <a:t>FILTRAR:</a:t>
          </a:r>
        </a:p>
      </xdr:txBody>
    </xdr:sp>
    <xdr:clientData fLocksWithSheet="0"/>
  </xdr:twoCellAnchor>
  <xdr:twoCellAnchor>
    <xdr:from>
      <xdr:col>5</xdr:col>
      <xdr:colOff>739140</xdr:colOff>
      <xdr:row>1</xdr:row>
      <xdr:rowOff>96520</xdr:rowOff>
    </xdr:from>
    <xdr:to>
      <xdr:col>6</xdr:col>
      <xdr:colOff>187960</xdr:colOff>
      <xdr:row>3</xdr:row>
      <xdr:rowOff>10160</xdr:rowOff>
    </xdr:to>
    <xdr:sp macro="FiltrarCatTodas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4DC41E2C-42F5-974A-EDFC-E522941F45BE}"/>
            </a:ext>
          </a:extLst>
        </xdr:cNvPr>
        <xdr:cNvSpPr/>
      </xdr:nvSpPr>
      <xdr:spPr>
        <a:xfrm>
          <a:off x="4572000" y="279400"/>
          <a:ext cx="7366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TODAS</a:t>
          </a:r>
        </a:p>
      </xdr:txBody>
    </xdr:sp>
    <xdr:clientData fLocksWithSheet="0"/>
  </xdr:twoCellAnchor>
  <xdr:twoCellAnchor>
    <xdr:from>
      <xdr:col>6</xdr:col>
      <xdr:colOff>264160</xdr:colOff>
      <xdr:row>1</xdr:row>
      <xdr:rowOff>96520</xdr:rowOff>
    </xdr:from>
    <xdr:to>
      <xdr:col>7</xdr:col>
      <xdr:colOff>749300</xdr:colOff>
      <xdr:row>3</xdr:row>
      <xdr:rowOff>10160</xdr:rowOff>
    </xdr:to>
    <xdr:sp macro="FiltrarCatHardwar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25D63D9D-0CDC-D88B-95FA-8894B70DCEF4}"/>
            </a:ext>
          </a:extLst>
        </xdr:cNvPr>
        <xdr:cNvSpPr/>
      </xdr:nvSpPr>
      <xdr:spPr>
        <a:xfrm>
          <a:off x="5384800" y="2794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Hardware</a:t>
          </a:r>
        </a:p>
      </xdr:txBody>
    </xdr:sp>
    <xdr:clientData fLocksWithSheet="0"/>
  </xdr:twoCellAnchor>
  <xdr:twoCellAnchor>
    <xdr:from>
      <xdr:col>7</xdr:col>
      <xdr:colOff>825500</xdr:colOff>
      <xdr:row>1</xdr:row>
      <xdr:rowOff>96520</xdr:rowOff>
    </xdr:from>
    <xdr:to>
      <xdr:col>8</xdr:col>
      <xdr:colOff>350520</xdr:colOff>
      <xdr:row>3</xdr:row>
      <xdr:rowOff>10160</xdr:rowOff>
    </xdr:to>
    <xdr:sp macro="FiltrarCatServicios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5A9E89E0-34CF-AF55-5167-C2238DFABA05}"/>
            </a:ext>
          </a:extLst>
        </xdr:cNvPr>
        <xdr:cNvSpPr/>
      </xdr:nvSpPr>
      <xdr:spPr>
        <a:xfrm>
          <a:off x="6273800" y="2794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Servicios</a:t>
          </a:r>
        </a:p>
      </xdr:txBody>
    </xdr:sp>
    <xdr:clientData fLocksWithSheet="0"/>
  </xdr:twoCellAnchor>
  <xdr:twoCellAnchor>
    <xdr:from>
      <xdr:col>8</xdr:col>
      <xdr:colOff>426720</xdr:colOff>
      <xdr:row>1</xdr:row>
      <xdr:rowOff>96520</xdr:rowOff>
    </xdr:from>
    <xdr:to>
      <xdr:col>8</xdr:col>
      <xdr:colOff>1239520</xdr:colOff>
      <xdr:row>3</xdr:row>
      <xdr:rowOff>10160</xdr:rowOff>
    </xdr:to>
    <xdr:sp macro="FiltrarCatSoftware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A63478F6-DC93-064F-C93E-4F445E7471DB}"/>
            </a:ext>
          </a:extLst>
        </xdr:cNvPr>
        <xdr:cNvSpPr/>
      </xdr:nvSpPr>
      <xdr:spPr>
        <a:xfrm>
          <a:off x="7162800" y="2794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Software</a:t>
          </a:r>
        </a:p>
      </xdr:txBody>
    </xdr:sp>
    <xdr:clientData fLocksWithSheet="0"/>
  </xdr:twoCellAnchor>
  <xdr:twoCellAnchor>
    <xdr:from>
      <xdr:col>1</xdr:col>
      <xdr:colOff>38100</xdr:colOff>
      <xdr:row>0</xdr:row>
      <xdr:rowOff>152400</xdr:rowOff>
    </xdr:from>
    <xdr:to>
      <xdr:col>2</xdr:col>
      <xdr:colOff>904240</xdr:colOff>
      <xdr:row>3</xdr:row>
      <xdr:rowOff>162560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BFD805C2-D5E6-CB06-11BC-740C94FF8D2F}"/>
            </a:ext>
          </a:extLst>
        </xdr:cNvPr>
        <xdr:cNvSpPr/>
      </xdr:nvSpPr>
      <xdr:spPr>
        <a:xfrm>
          <a:off x="228600" y="152400"/>
          <a:ext cx="1879600" cy="558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63500</xdr:colOff>
      <xdr:row>0</xdr:row>
      <xdr:rowOff>177800</xdr:rowOff>
    </xdr:from>
    <xdr:to>
      <xdr:col>2</xdr:col>
      <xdr:colOff>828040</xdr:colOff>
      <xdr:row>2</xdr:row>
      <xdr:rowOff>40640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1FA033D8-AF54-0859-BE70-86864F97DBEC}"/>
            </a:ext>
          </a:extLst>
        </xdr:cNvPr>
        <xdr:cNvSpPr txBox="1"/>
      </xdr:nvSpPr>
      <xdr:spPr>
        <a:xfrm>
          <a:off x="254000" y="177800"/>
          <a:ext cx="1778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444444"/>
              </a:solidFill>
            </a:rPr>
            <a:t>📅 Período Trimestral</a:t>
          </a:r>
        </a:p>
      </xdr:txBody>
    </xdr:sp>
    <xdr:clientData fLocksWithSheet="0"/>
  </xdr:twoCellAnchor>
  <xdr:twoCellAnchor>
    <xdr:from>
      <xdr:col>1</xdr:col>
      <xdr:colOff>114300</xdr:colOff>
      <xdr:row>2</xdr:row>
      <xdr:rowOff>15240</xdr:rowOff>
    </xdr:from>
    <xdr:to>
      <xdr:col>1</xdr:col>
      <xdr:colOff>927100</xdr:colOff>
      <xdr:row>3</xdr:row>
      <xdr:rowOff>111760</xdr:rowOff>
    </xdr:to>
    <xdr:sp macro="FiltrarPeriodoQ1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E8270192-3037-2DFF-6698-56DF289DB16A}"/>
            </a:ext>
          </a:extLst>
        </xdr:cNvPr>
        <xdr:cNvSpPr/>
      </xdr:nvSpPr>
      <xdr:spPr>
        <a:xfrm>
          <a:off x="304800" y="3810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Q1 2026</a:t>
          </a:r>
        </a:p>
      </xdr:txBody>
    </xdr:sp>
    <xdr:clientData fLocksWithSheet="0"/>
  </xdr:twoCellAnchor>
  <xdr:twoCellAnchor>
    <xdr:from>
      <xdr:col>1</xdr:col>
      <xdr:colOff>1003300</xdr:colOff>
      <xdr:row>2</xdr:row>
      <xdr:rowOff>15240</xdr:rowOff>
    </xdr:from>
    <xdr:to>
      <xdr:col>2</xdr:col>
      <xdr:colOff>802640</xdr:colOff>
      <xdr:row>3</xdr:row>
      <xdr:rowOff>111760</xdr:rowOff>
    </xdr:to>
    <xdr:sp macro="FiltrarPeriodoActual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DD1DACC8-E4FA-030A-29BB-88C3C1951863}"/>
            </a:ext>
          </a:extLst>
        </xdr:cNvPr>
        <xdr:cNvSpPr/>
      </xdr:nvSpPr>
      <xdr:spPr>
        <a:xfrm>
          <a:off x="1193800" y="3810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ACTUAL</a:t>
          </a:r>
        </a:p>
      </xdr:txBody>
    </xdr:sp>
    <xdr:clientData fLocksWithSheet="0"/>
  </xdr:twoCellAnchor>
  <xdr:twoCellAnchor>
    <xdr:from>
      <xdr:col>1</xdr:col>
      <xdr:colOff>38100</xdr:colOff>
      <xdr:row>4</xdr:row>
      <xdr:rowOff>55880</xdr:rowOff>
    </xdr:from>
    <xdr:to>
      <xdr:col>2</xdr:col>
      <xdr:colOff>904240</xdr:colOff>
      <xdr:row>8</xdr:row>
      <xdr:rowOff>10160</xdr:rowOff>
    </xdr:to>
    <xdr:sp macro="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077102A4-EBFD-A3A3-4691-39DDA99A9DA9}"/>
            </a:ext>
          </a:extLst>
        </xdr:cNvPr>
        <xdr:cNvSpPr/>
      </xdr:nvSpPr>
      <xdr:spPr>
        <a:xfrm>
          <a:off x="228600" y="787400"/>
          <a:ext cx="1879600" cy="685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88900</xdr:colOff>
      <xdr:row>4</xdr:row>
      <xdr:rowOff>81280</xdr:rowOff>
    </xdr:from>
    <xdr:to>
      <xdr:col>2</xdr:col>
      <xdr:colOff>154940</xdr:colOff>
      <xdr:row>7</xdr:row>
      <xdr:rowOff>142240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485AEF6B-9550-DE46-A78B-4DD63A661CD6}"/>
            </a:ext>
          </a:extLst>
        </xdr:cNvPr>
        <xdr:cNvSpPr txBox="1"/>
      </xdr:nvSpPr>
      <xdr:spPr>
        <a:xfrm>
          <a:off x="279400" y="812800"/>
          <a:ext cx="1079500" cy="609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💳 Ticket Medio
Por Operación</a:t>
          </a:r>
        </a:p>
      </xdr:txBody>
    </xdr:sp>
    <xdr:clientData fLocksWithSheet="0"/>
  </xdr:twoCellAnchor>
  <xdr:twoCellAnchor>
    <xdr:from>
      <xdr:col>2</xdr:col>
      <xdr:colOff>2540</xdr:colOff>
      <xdr:row>4</xdr:row>
      <xdr:rowOff>132080</xdr:rowOff>
    </xdr:from>
    <xdr:to>
      <xdr:col>2</xdr:col>
      <xdr:colOff>891540</xdr:colOff>
      <xdr:row>7</xdr:row>
      <xdr:rowOff>91440</xdr:rowOff>
    </xdr:to>
    <xdr:sp macro="" textlink="">
      <xdr:nvSpPr>
        <xdr:cNvPr id="17" name="CardAvg_Val">
          <a:extLst>
            <a:ext uri="{FF2B5EF4-FFF2-40B4-BE49-F238E27FC236}">
              <a16:creationId xmlns:a16="http://schemas.microsoft.com/office/drawing/2014/main" id="{46844FB9-D06F-F037-1760-275C55F12B1D}"/>
            </a:ext>
          </a:extLst>
        </xdr:cNvPr>
        <xdr:cNvSpPr txBox="1"/>
      </xdr:nvSpPr>
      <xdr:spPr>
        <a:xfrm>
          <a:off x="1206500" y="863600"/>
          <a:ext cx="889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400" b="1">
              <a:solidFill>
                <a:srgbClr val="1F2120"/>
              </a:solidFill>
            </a:rPr>
            <a:t>1.497 €</a:t>
          </a:r>
        </a:p>
      </xdr:txBody>
    </xdr:sp>
    <xdr:clientData fLocksWithSheet="0"/>
  </xdr:twoCellAnchor>
  <xdr:twoCellAnchor>
    <xdr:from>
      <xdr:col>11</xdr:col>
      <xdr:colOff>1155700</xdr:colOff>
      <xdr:row>0</xdr:row>
      <xdr:rowOff>152400</xdr:rowOff>
    </xdr:from>
    <xdr:to>
      <xdr:col>14</xdr:col>
      <xdr:colOff>495300</xdr:colOff>
      <xdr:row>8</xdr:row>
      <xdr:rowOff>10160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177E58B5-A263-B1B4-183D-7555716A778E}"/>
            </a:ext>
          </a:extLst>
        </xdr:cNvPr>
        <xdr:cNvSpPr/>
      </xdr:nvSpPr>
      <xdr:spPr>
        <a:xfrm>
          <a:off x="10795000" y="152400"/>
          <a:ext cx="1968500" cy="1320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11</xdr:col>
      <xdr:colOff>1231900</xdr:colOff>
      <xdr:row>0</xdr:row>
      <xdr:rowOff>177800</xdr:rowOff>
    </xdr:from>
    <xdr:to>
      <xdr:col>14</xdr:col>
      <xdr:colOff>381000</xdr:colOff>
      <xdr:row>2</xdr:row>
      <xdr:rowOff>66040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6B5F52F7-F299-83C6-7E8A-52279B873244}"/>
            </a:ext>
          </a:extLst>
        </xdr:cNvPr>
        <xdr:cNvSpPr txBox="1"/>
      </xdr:nvSpPr>
      <xdr:spPr>
        <a:xfrm>
          <a:off x="10871200" y="1778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43D4E"/>
              </a:solidFill>
            </a:rPr>
            <a:t>💳 Canal / Pago (Filtros)</a:t>
          </a:r>
        </a:p>
      </xdr:txBody>
    </xdr:sp>
    <xdr:clientData fLocksWithSheet="0"/>
  </xdr:twoCellAnchor>
  <xdr:twoCellAnchor>
    <xdr:from>
      <xdr:col>11</xdr:col>
      <xdr:colOff>1231900</xdr:colOff>
      <xdr:row>2</xdr:row>
      <xdr:rowOff>91440</xdr:rowOff>
    </xdr:from>
    <xdr:to>
      <xdr:col>13</xdr:col>
      <xdr:colOff>454660</xdr:colOff>
      <xdr:row>4</xdr:row>
      <xdr:rowOff>5080</xdr:rowOff>
    </xdr:to>
    <xdr:sp macro="FiltrarPagoTransferencia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C64276C3-0691-3D3A-8783-40973440FCB3}"/>
            </a:ext>
          </a:extLst>
        </xdr:cNvPr>
        <xdr:cNvSpPr/>
      </xdr:nvSpPr>
      <xdr:spPr>
        <a:xfrm>
          <a:off x="10871200" y="4572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Transf.</a:t>
          </a:r>
        </a:p>
      </xdr:txBody>
    </xdr:sp>
    <xdr:clientData fLocksWithSheet="0"/>
  </xdr:twoCellAnchor>
  <xdr:twoCellAnchor>
    <xdr:from>
      <xdr:col>13</xdr:col>
      <xdr:colOff>505460</xdr:colOff>
      <xdr:row>2</xdr:row>
      <xdr:rowOff>91440</xdr:rowOff>
    </xdr:from>
    <xdr:to>
      <xdr:col>14</xdr:col>
      <xdr:colOff>330200</xdr:colOff>
      <xdr:row>4</xdr:row>
      <xdr:rowOff>5080</xdr:rowOff>
    </xdr:to>
    <xdr:sp macro="FiltrarPagoTarjeta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69A5B84-0D81-4B1D-A885-F5CA71A8540B}"/>
            </a:ext>
          </a:extLst>
        </xdr:cNvPr>
        <xdr:cNvSpPr/>
      </xdr:nvSpPr>
      <xdr:spPr>
        <a:xfrm>
          <a:off x="11760200" y="4572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Tarjeta</a:t>
          </a:r>
        </a:p>
      </xdr:txBody>
    </xdr:sp>
    <xdr:clientData fLocksWithSheet="0"/>
  </xdr:twoCellAnchor>
  <xdr:twoCellAnchor>
    <xdr:from>
      <xdr:col>11</xdr:col>
      <xdr:colOff>1231900</xdr:colOff>
      <xdr:row>4</xdr:row>
      <xdr:rowOff>55880</xdr:rowOff>
    </xdr:from>
    <xdr:to>
      <xdr:col>13</xdr:col>
      <xdr:colOff>454660</xdr:colOff>
      <xdr:row>5</xdr:row>
      <xdr:rowOff>152400</xdr:rowOff>
    </xdr:to>
    <xdr:sp macro="FiltrarPagoEfectivo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58568ECE-78E4-F77A-6592-BD5781F70EFB}"/>
            </a:ext>
          </a:extLst>
        </xdr:cNvPr>
        <xdr:cNvSpPr/>
      </xdr:nvSpPr>
      <xdr:spPr>
        <a:xfrm>
          <a:off x="10871200" y="7874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Efectivo</a:t>
          </a:r>
        </a:p>
      </xdr:txBody>
    </xdr:sp>
    <xdr:clientData fLocksWithSheet="0"/>
  </xdr:twoCellAnchor>
  <xdr:twoCellAnchor>
    <xdr:from>
      <xdr:col>13</xdr:col>
      <xdr:colOff>505460</xdr:colOff>
      <xdr:row>4</xdr:row>
      <xdr:rowOff>55880</xdr:rowOff>
    </xdr:from>
    <xdr:to>
      <xdr:col>14</xdr:col>
      <xdr:colOff>330200</xdr:colOff>
      <xdr:row>5</xdr:row>
      <xdr:rowOff>152400</xdr:rowOff>
    </xdr:to>
    <xdr:sp macro="FiltrarPagoTodos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42201A7-B9A0-43EB-1400-1F9DDB8375AA}"/>
            </a:ext>
          </a:extLst>
        </xdr:cNvPr>
        <xdr:cNvSpPr/>
      </xdr:nvSpPr>
      <xdr:spPr>
        <a:xfrm>
          <a:off x="11760200" y="7874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TODOS</a:t>
          </a:r>
        </a:p>
      </xdr:txBody>
    </xdr:sp>
    <xdr:clientData fLocksWithSheet="0"/>
  </xdr:twoCellAnchor>
  <xdr:twoCellAnchor>
    <xdr:from>
      <xdr:col>11</xdr:col>
      <xdr:colOff>1155700</xdr:colOff>
      <xdr:row>6</xdr:row>
      <xdr:rowOff>20320</xdr:rowOff>
    </xdr:from>
    <xdr:to>
      <xdr:col>14</xdr:col>
      <xdr:colOff>495300</xdr:colOff>
      <xdr:row>7</xdr:row>
      <xdr:rowOff>167640</xdr:rowOff>
    </xdr:to>
    <xdr:sp macro="IrAPanelControl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2597E9E1-360E-19F8-688E-8C3EA3AE88A3}"/>
            </a:ext>
          </a:extLst>
        </xdr:cNvPr>
        <xdr:cNvSpPr/>
      </xdr:nvSpPr>
      <xdr:spPr>
        <a:xfrm>
          <a:off x="10795000" y="1117600"/>
          <a:ext cx="1968500" cy="330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📋 IR A FORMULARIO</a:t>
          </a:r>
        </a:p>
      </xdr:txBody>
    </xdr:sp>
    <xdr:clientData fLocksWithSheet="0"/>
  </xdr:twoCellAnchor>
  <xdr:twoCellAnchor>
    <xdr:from>
      <xdr:col>3</xdr:col>
      <xdr:colOff>132080</xdr:colOff>
      <xdr:row>6</xdr:row>
      <xdr:rowOff>121920</xdr:rowOff>
    </xdr:from>
    <xdr:to>
      <xdr:col>5</xdr:col>
      <xdr:colOff>1056640</xdr:colOff>
      <xdr:row>13</xdr:row>
      <xdr:rowOff>10160</xdr:rowOff>
    </xdr:to>
    <xdr:sp macro="" textlink="">
      <xdr:nvSpPr>
        <xdr:cNvPr id="25" name="Rectángulo: esquinas redondeadas 24">
          <a:extLst>
            <a:ext uri="{FF2B5EF4-FFF2-40B4-BE49-F238E27FC236}">
              <a16:creationId xmlns:a16="http://schemas.microsoft.com/office/drawing/2014/main" id="{CEFF57EF-50BF-CE22-E473-DF8905EB22A0}"/>
            </a:ext>
          </a:extLst>
        </xdr:cNvPr>
        <xdr:cNvSpPr/>
      </xdr:nvSpPr>
      <xdr:spPr>
        <a:xfrm>
          <a:off x="23495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259080</xdr:colOff>
      <xdr:row>7</xdr:row>
      <xdr:rowOff>116840</xdr:rowOff>
    </xdr:from>
    <xdr:to>
      <xdr:col>4</xdr:col>
      <xdr:colOff>515620</xdr:colOff>
      <xdr:row>10</xdr:row>
      <xdr:rowOff>152400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2EC0EA2A-F75F-A55A-F80A-139EBF03F630}"/>
            </a:ext>
          </a:extLst>
        </xdr:cNvPr>
        <xdr:cNvSpPr/>
      </xdr:nvSpPr>
      <xdr:spPr>
        <a:xfrm>
          <a:off x="2476500" y="1397000"/>
          <a:ext cx="584200" cy="584200"/>
        </a:xfrm>
        <a:prstGeom prst="ellipse">
          <a:avLst/>
        </a:prstGeom>
        <a:solidFill>
          <a:srgbClr val="EEF9F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000"/>
            <a:t>💰</a:t>
          </a:r>
        </a:p>
      </xdr:txBody>
    </xdr:sp>
    <xdr:clientData fLocksWithSheet="0"/>
  </xdr:twoCellAnchor>
  <xdr:twoCellAnchor>
    <xdr:from>
      <xdr:col>4</xdr:col>
      <xdr:colOff>566420</xdr:colOff>
      <xdr:row>7</xdr:row>
      <xdr:rowOff>15240</xdr:rowOff>
    </xdr:from>
    <xdr:to>
      <xdr:col>5</xdr:col>
      <xdr:colOff>993140</xdr:colOff>
      <xdr:row>9</xdr:row>
      <xdr:rowOff>157480</xdr:rowOff>
    </xdr:to>
    <xdr:sp macro="" textlink="">
      <xdr:nvSpPr>
        <xdr:cNvPr id="27" name="K1_Val">
          <a:extLst>
            <a:ext uri="{FF2B5EF4-FFF2-40B4-BE49-F238E27FC236}">
              <a16:creationId xmlns:a16="http://schemas.microsoft.com/office/drawing/2014/main" id="{970F625B-2665-B10C-79B8-4BB194367CE8}"/>
            </a:ext>
          </a:extLst>
        </xdr:cNvPr>
        <xdr:cNvSpPr txBox="1"/>
      </xdr:nvSpPr>
      <xdr:spPr>
        <a:xfrm>
          <a:off x="3111500" y="1295400"/>
          <a:ext cx="1714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100" b="1">
              <a:solidFill>
                <a:srgbClr val="1F2120"/>
              </a:solidFill>
            </a:rPr>
            <a:t>23.946 €</a:t>
          </a:r>
        </a:p>
      </xdr:txBody>
    </xdr:sp>
    <xdr:clientData fLocksWithSheet="0"/>
  </xdr:twoCellAnchor>
  <xdr:twoCellAnchor>
    <xdr:from>
      <xdr:col>4</xdr:col>
      <xdr:colOff>566420</xdr:colOff>
      <xdr:row>10</xdr:row>
      <xdr:rowOff>25400</xdr:rowOff>
    </xdr:from>
    <xdr:to>
      <xdr:col>5</xdr:col>
      <xdr:colOff>993140</xdr:colOff>
      <xdr:row>11</xdr:row>
      <xdr:rowOff>172720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30308DDE-3418-CF44-2741-F9509F9B4B5D}"/>
            </a:ext>
          </a:extLst>
        </xdr:cNvPr>
        <xdr:cNvSpPr txBox="1"/>
      </xdr:nvSpPr>
      <xdr:spPr>
        <a:xfrm>
          <a:off x="3111500" y="1854200"/>
          <a:ext cx="17145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777777"/>
              </a:solidFill>
            </a:rPr>
            <a:t>Facturación Total Acumulada</a:t>
          </a:r>
        </a:p>
      </xdr:txBody>
    </xdr:sp>
    <xdr:clientData fLocksWithSheet="0"/>
  </xdr:twoCellAnchor>
  <xdr:twoCellAnchor>
    <xdr:from>
      <xdr:col>6</xdr:col>
      <xdr:colOff>86360</xdr:colOff>
      <xdr:row>6</xdr:row>
      <xdr:rowOff>121920</xdr:rowOff>
    </xdr:from>
    <xdr:to>
      <xdr:col>8</xdr:col>
      <xdr:colOff>1010920</xdr:colOff>
      <xdr:row>13</xdr:row>
      <xdr:rowOff>10160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BFEE3125-8889-79E2-EE24-B7C91E5788A9}"/>
            </a:ext>
          </a:extLst>
        </xdr:cNvPr>
        <xdr:cNvSpPr/>
      </xdr:nvSpPr>
      <xdr:spPr>
        <a:xfrm>
          <a:off x="52070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187960</xdr:colOff>
      <xdr:row>7</xdr:row>
      <xdr:rowOff>40640</xdr:rowOff>
    </xdr:from>
    <xdr:to>
      <xdr:col>7</xdr:col>
      <xdr:colOff>825500</xdr:colOff>
      <xdr:row>12</xdr:row>
      <xdr:rowOff>91440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1A723F32-D5BC-F467-B7EA-18E769EBB7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901700</xdr:colOff>
      <xdr:row>7</xdr:row>
      <xdr:rowOff>15240</xdr:rowOff>
    </xdr:from>
    <xdr:to>
      <xdr:col>8</xdr:col>
      <xdr:colOff>947420</xdr:colOff>
      <xdr:row>9</xdr:row>
      <xdr:rowOff>157480</xdr:rowOff>
    </xdr:to>
    <xdr:sp macro="" textlink="">
      <xdr:nvSpPr>
        <xdr:cNvPr id="31" name="K2_Val">
          <a:extLst>
            <a:ext uri="{FF2B5EF4-FFF2-40B4-BE49-F238E27FC236}">
              <a16:creationId xmlns:a16="http://schemas.microsoft.com/office/drawing/2014/main" id="{EFF38310-121F-F0F3-549F-DFE050009409}"/>
            </a:ext>
          </a:extLst>
        </xdr:cNvPr>
        <xdr:cNvSpPr txBox="1"/>
      </xdr:nvSpPr>
      <xdr:spPr>
        <a:xfrm>
          <a:off x="6350000" y="1295400"/>
          <a:ext cx="1333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19.790 €</a:t>
          </a:r>
        </a:p>
      </xdr:txBody>
    </xdr:sp>
    <xdr:clientData fLocksWithSheet="0"/>
  </xdr:twoCellAnchor>
  <xdr:twoCellAnchor>
    <xdr:from>
      <xdr:col>7</xdr:col>
      <xdr:colOff>901700</xdr:colOff>
      <xdr:row>10</xdr:row>
      <xdr:rowOff>25400</xdr:rowOff>
    </xdr:from>
    <xdr:to>
      <xdr:col>8</xdr:col>
      <xdr:colOff>947420</xdr:colOff>
      <xdr:row>12</xdr:row>
      <xdr:rowOff>91440</xdr:rowOff>
    </xdr:to>
    <xdr:sp macro="" textlink="">
      <xdr:nvSpPr>
        <xdr:cNvPr id="32" name="K2_Lbl">
          <a:extLst>
            <a:ext uri="{FF2B5EF4-FFF2-40B4-BE49-F238E27FC236}">
              <a16:creationId xmlns:a16="http://schemas.microsoft.com/office/drawing/2014/main" id="{87B447BE-13C6-F4D0-BE90-9FD5F337AE66}"/>
            </a:ext>
          </a:extLst>
        </xdr:cNvPr>
        <xdr:cNvSpPr txBox="1"/>
      </xdr:nvSpPr>
      <xdr:spPr>
        <a:xfrm>
          <a:off x="6350000" y="18542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777777"/>
              </a:solidFill>
            </a:rPr>
            <a:t>Base Imponible Neta</a:t>
          </a:r>
        </a:p>
        <a:p>
          <a:r>
            <a:rPr lang="es-ES" sz="900" b="1">
              <a:solidFill>
                <a:srgbClr val="777777"/>
              </a:solidFill>
            </a:rPr>
            <a:t>(82,6% Total)</a:t>
          </a:r>
        </a:p>
      </xdr:txBody>
    </xdr:sp>
    <xdr:clientData fLocksWithSheet="0"/>
  </xdr:twoCellAnchor>
  <xdr:twoCellAnchor>
    <xdr:from>
      <xdr:col>9</xdr:col>
      <xdr:colOff>40640</xdr:colOff>
      <xdr:row>6</xdr:row>
      <xdr:rowOff>121920</xdr:rowOff>
    </xdr:from>
    <xdr:to>
      <xdr:col>11</xdr:col>
      <xdr:colOff>965200</xdr:colOff>
      <xdr:row>13</xdr:row>
      <xdr:rowOff>10160</xdr:rowOff>
    </xdr:to>
    <xdr:sp macro="" textlink="">
      <xdr:nvSpPr>
        <xdr:cNvPr id="33" name="Rectángulo: esquinas redondeadas 32">
          <a:extLst>
            <a:ext uri="{FF2B5EF4-FFF2-40B4-BE49-F238E27FC236}">
              <a16:creationId xmlns:a16="http://schemas.microsoft.com/office/drawing/2014/main" id="{2E03D69B-F54E-10D1-4AB2-2F85FA3C88EE}"/>
            </a:ext>
          </a:extLst>
        </xdr:cNvPr>
        <xdr:cNvSpPr/>
      </xdr:nvSpPr>
      <xdr:spPr>
        <a:xfrm>
          <a:off x="80645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142240</xdr:colOff>
      <xdr:row>7</xdr:row>
      <xdr:rowOff>40640</xdr:rowOff>
    </xdr:from>
    <xdr:to>
      <xdr:col>10</xdr:col>
      <xdr:colOff>779780</xdr:colOff>
      <xdr:row>12</xdr:row>
      <xdr:rowOff>91440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0119DFB4-D131-07F3-0914-5400997A7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10</xdr:col>
      <xdr:colOff>855980</xdr:colOff>
      <xdr:row>7</xdr:row>
      <xdr:rowOff>15240</xdr:rowOff>
    </xdr:from>
    <xdr:to>
      <xdr:col>11</xdr:col>
      <xdr:colOff>901700</xdr:colOff>
      <xdr:row>9</xdr:row>
      <xdr:rowOff>157480</xdr:rowOff>
    </xdr:to>
    <xdr:sp macro="" textlink="">
      <xdr:nvSpPr>
        <xdr:cNvPr id="35" name="K3_Val">
          <a:extLst>
            <a:ext uri="{FF2B5EF4-FFF2-40B4-BE49-F238E27FC236}">
              <a16:creationId xmlns:a16="http://schemas.microsoft.com/office/drawing/2014/main" id="{C7D018D7-C653-85A2-495A-34260A10EA48}"/>
            </a:ext>
          </a:extLst>
        </xdr:cNvPr>
        <xdr:cNvSpPr txBox="1"/>
      </xdr:nvSpPr>
      <xdr:spPr>
        <a:xfrm>
          <a:off x="9207500" y="1295400"/>
          <a:ext cx="1333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4.156 €</a:t>
          </a:r>
        </a:p>
      </xdr:txBody>
    </xdr:sp>
    <xdr:clientData fLocksWithSheet="0"/>
  </xdr:twoCellAnchor>
  <xdr:twoCellAnchor>
    <xdr:from>
      <xdr:col>10</xdr:col>
      <xdr:colOff>855980</xdr:colOff>
      <xdr:row>10</xdr:row>
      <xdr:rowOff>25400</xdr:rowOff>
    </xdr:from>
    <xdr:to>
      <xdr:col>11</xdr:col>
      <xdr:colOff>901700</xdr:colOff>
      <xdr:row>12</xdr:row>
      <xdr:rowOff>91440</xdr:rowOff>
    </xdr:to>
    <xdr:sp macro="" textlink="">
      <xdr:nvSpPr>
        <xdr:cNvPr id="36" name="K3_Lbl">
          <a:extLst>
            <a:ext uri="{FF2B5EF4-FFF2-40B4-BE49-F238E27FC236}">
              <a16:creationId xmlns:a16="http://schemas.microsoft.com/office/drawing/2014/main" id="{9A670BBD-5867-DB97-D56C-C5A8573684D6}"/>
            </a:ext>
          </a:extLst>
        </xdr:cNvPr>
        <xdr:cNvSpPr txBox="1"/>
      </xdr:nvSpPr>
      <xdr:spPr>
        <a:xfrm>
          <a:off x="9207500" y="18542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777777"/>
              </a:solidFill>
            </a:rPr>
            <a:t>IVA Repercutido</a:t>
          </a:r>
        </a:p>
        <a:p>
          <a:r>
            <a:rPr lang="es-ES" sz="900" b="1">
              <a:solidFill>
                <a:srgbClr val="777777"/>
              </a:solidFill>
            </a:rPr>
            <a:t>(17,4% Cuota)</a:t>
          </a:r>
        </a:p>
      </xdr:txBody>
    </xdr:sp>
    <xdr:clientData fLocksWithSheet="0"/>
  </xdr:twoCellAnchor>
  <xdr:twoCellAnchor>
    <xdr:from>
      <xdr:col>1</xdr:col>
      <xdr:colOff>38100</xdr:colOff>
      <xdr:row>13</xdr:row>
      <xdr:rowOff>111760</xdr:rowOff>
    </xdr:from>
    <xdr:to>
      <xdr:col>2</xdr:col>
      <xdr:colOff>904240</xdr:colOff>
      <xdr:row>18</xdr:row>
      <xdr:rowOff>86360</xdr:rowOff>
    </xdr:to>
    <xdr:sp macro="" textlink="">
      <xdr:nvSpPr>
        <xdr:cNvPr id="37" name="CardTeal">
          <a:extLst>
            <a:ext uri="{FF2B5EF4-FFF2-40B4-BE49-F238E27FC236}">
              <a16:creationId xmlns:a16="http://schemas.microsoft.com/office/drawing/2014/main" id="{1753F5F0-EBD9-279A-A552-C0DF149344F7}"/>
            </a:ext>
          </a:extLst>
        </xdr:cNvPr>
        <xdr:cNvSpPr/>
      </xdr:nvSpPr>
      <xdr:spPr>
        <a:xfrm>
          <a:off x="228600" y="2489200"/>
          <a:ext cx="1879600" cy="8890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114300</xdr:colOff>
      <xdr:row>13</xdr:row>
      <xdr:rowOff>162560</xdr:rowOff>
    </xdr:from>
    <xdr:to>
      <xdr:col>2</xdr:col>
      <xdr:colOff>828040</xdr:colOff>
      <xdr:row>15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3B346588-A7F6-AA4B-5916-C2E72CDA0E88}"/>
            </a:ext>
          </a:extLst>
        </xdr:cNvPr>
        <xdr:cNvSpPr txBox="1"/>
      </xdr:nvSpPr>
      <xdr:spPr>
        <a:xfrm>
          <a:off x="304800" y="2540000"/>
          <a:ext cx="17272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Clientes Activos</a:t>
          </a:r>
        </a:p>
      </xdr:txBody>
    </xdr:sp>
    <xdr:clientData fLocksWithSheet="0"/>
  </xdr:twoCellAnchor>
  <xdr:twoCellAnchor>
    <xdr:from>
      <xdr:col>1</xdr:col>
      <xdr:colOff>114300</xdr:colOff>
      <xdr:row>15</xdr:row>
      <xdr:rowOff>101600</xdr:rowOff>
    </xdr:from>
    <xdr:to>
      <xdr:col>2</xdr:col>
      <xdr:colOff>828040</xdr:colOff>
      <xdr:row>18</xdr:row>
      <xdr:rowOff>10160</xdr:rowOff>
    </xdr:to>
    <xdr:sp macro="" textlink="">
      <xdr:nvSpPr>
        <xdr:cNvPr id="39" name="CardTeal_Val">
          <a:extLst>
            <a:ext uri="{FF2B5EF4-FFF2-40B4-BE49-F238E27FC236}">
              <a16:creationId xmlns:a16="http://schemas.microsoft.com/office/drawing/2014/main" id="{682905F4-194E-9E47-F9EF-93889049F796}"/>
            </a:ext>
          </a:extLst>
        </xdr:cNvPr>
        <xdr:cNvSpPr txBox="1"/>
      </xdr:nvSpPr>
      <xdr:spPr>
        <a:xfrm>
          <a:off x="304800" y="2844800"/>
          <a:ext cx="172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</a:rPr>
            <a:t>8 Cuentas</a:t>
          </a:r>
        </a:p>
      </xdr:txBody>
    </xdr:sp>
    <xdr:clientData fLocksWithSheet="0"/>
  </xdr:twoCellAnchor>
  <xdr:twoCellAnchor>
    <xdr:from>
      <xdr:col>1</xdr:col>
      <xdr:colOff>38100</xdr:colOff>
      <xdr:row>19</xdr:row>
      <xdr:rowOff>5080</xdr:rowOff>
    </xdr:from>
    <xdr:to>
      <xdr:col>2</xdr:col>
      <xdr:colOff>904240</xdr:colOff>
      <xdr:row>23</xdr:row>
      <xdr:rowOff>162560</xdr:rowOff>
    </xdr:to>
    <xdr:sp macro="" textlink="">
      <xdr:nvSpPr>
        <xdr:cNvPr id="40" name="CardNavy">
          <a:extLst>
            <a:ext uri="{FF2B5EF4-FFF2-40B4-BE49-F238E27FC236}">
              <a16:creationId xmlns:a16="http://schemas.microsoft.com/office/drawing/2014/main" id="{E8359907-72B7-0102-8C88-63DEB3CBE2DD}"/>
            </a:ext>
          </a:extLst>
        </xdr:cNvPr>
        <xdr:cNvSpPr/>
      </xdr:nvSpPr>
      <xdr:spPr>
        <a:xfrm>
          <a:off x="228600" y="3479800"/>
          <a:ext cx="1879600" cy="8890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114300</xdr:colOff>
      <xdr:row>19</xdr:row>
      <xdr:rowOff>55880</xdr:rowOff>
    </xdr:from>
    <xdr:to>
      <xdr:col>2</xdr:col>
      <xdr:colOff>828040</xdr:colOff>
      <xdr:row>20</xdr:row>
      <xdr:rowOff>152400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E3C9CC53-6BE8-B010-13D5-3D9EC59B825A}"/>
            </a:ext>
          </a:extLst>
        </xdr:cNvPr>
        <xdr:cNvSpPr txBox="1"/>
      </xdr:nvSpPr>
      <xdr:spPr>
        <a:xfrm>
          <a:off x="304800" y="3530600"/>
          <a:ext cx="17272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Ventas Registradas</a:t>
          </a:r>
        </a:p>
      </xdr:txBody>
    </xdr:sp>
    <xdr:clientData fLocksWithSheet="0"/>
  </xdr:twoCellAnchor>
  <xdr:twoCellAnchor>
    <xdr:from>
      <xdr:col>1</xdr:col>
      <xdr:colOff>114300</xdr:colOff>
      <xdr:row>20</xdr:row>
      <xdr:rowOff>177800</xdr:rowOff>
    </xdr:from>
    <xdr:to>
      <xdr:col>2</xdr:col>
      <xdr:colOff>828040</xdr:colOff>
      <xdr:row>23</xdr:row>
      <xdr:rowOff>86360</xdr:rowOff>
    </xdr:to>
    <xdr:sp macro="" textlink="">
      <xdr:nvSpPr>
        <xdr:cNvPr id="42" name="CardNavy_Val">
          <a:extLst>
            <a:ext uri="{FF2B5EF4-FFF2-40B4-BE49-F238E27FC236}">
              <a16:creationId xmlns:a16="http://schemas.microsoft.com/office/drawing/2014/main" id="{DBA665C0-B571-866E-40ED-DDF79429BF12}"/>
            </a:ext>
          </a:extLst>
        </xdr:cNvPr>
        <xdr:cNvSpPr txBox="1"/>
      </xdr:nvSpPr>
      <xdr:spPr>
        <a:xfrm>
          <a:off x="304800" y="3835400"/>
          <a:ext cx="172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</a:rPr>
            <a:t>16 Operac.</a:t>
          </a:r>
        </a:p>
      </xdr:txBody>
    </xdr:sp>
    <xdr:clientData fLocksWithSheet="0"/>
  </xdr:twoCellAnchor>
  <xdr:twoCellAnchor>
    <xdr:from>
      <xdr:col>1</xdr:col>
      <xdr:colOff>38100</xdr:colOff>
      <xdr:row>24</xdr:row>
      <xdr:rowOff>81280</xdr:rowOff>
    </xdr:from>
    <xdr:to>
      <xdr:col>2</xdr:col>
      <xdr:colOff>904240</xdr:colOff>
      <xdr:row>34</xdr:row>
      <xdr:rowOff>30480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B941A916-20F2-6459-785F-BD4DCD226340}"/>
            </a:ext>
          </a:extLst>
        </xdr:cNvPr>
        <xdr:cNvSpPr/>
      </xdr:nvSpPr>
      <xdr:spPr>
        <a:xfrm>
          <a:off x="228600" y="4470400"/>
          <a:ext cx="1879600" cy="1778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88900</xdr:colOff>
      <xdr:row>24</xdr:row>
      <xdr:rowOff>106680</xdr:rowOff>
    </xdr:from>
    <xdr:to>
      <xdr:col>2</xdr:col>
      <xdr:colOff>853440</xdr:colOff>
      <xdr:row>26</xdr:row>
      <xdr:rowOff>71120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2676227C-842C-0F35-E701-0EF50FCF5BEA}"/>
            </a:ext>
          </a:extLst>
        </xdr:cNvPr>
        <xdr:cNvSpPr txBox="1"/>
      </xdr:nvSpPr>
      <xdr:spPr>
        <a:xfrm>
          <a:off x="279400" y="4495800"/>
          <a:ext cx="17780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🎯 Categorías  ★</a:t>
          </a:r>
        </a:p>
      </xdr:txBody>
    </xdr:sp>
    <xdr:clientData fLocksWithSheet="0"/>
  </xdr:twoCellAnchor>
  <xdr:twoCellAnchor>
    <xdr:from>
      <xdr:col>1</xdr:col>
      <xdr:colOff>88900</xdr:colOff>
      <xdr:row>26</xdr:row>
      <xdr:rowOff>71120</xdr:rowOff>
    </xdr:from>
    <xdr:to>
      <xdr:col>2</xdr:col>
      <xdr:colOff>853440</xdr:colOff>
      <xdr:row>28</xdr:row>
      <xdr:rowOff>10160</xdr:rowOff>
    </xdr:to>
    <xdr:sp macro="" textlink="">
      <xdr:nvSpPr>
        <xdr:cNvPr id="45" name="Cat_Hw">
          <a:extLst>
            <a:ext uri="{FF2B5EF4-FFF2-40B4-BE49-F238E27FC236}">
              <a16:creationId xmlns:a16="http://schemas.microsoft.com/office/drawing/2014/main" id="{FF052AFA-F490-1094-595A-0654001E3E54}"/>
            </a:ext>
          </a:extLst>
        </xdr:cNvPr>
        <xdr:cNvSpPr txBox="1"/>
      </xdr:nvSpPr>
      <xdr:spPr>
        <a:xfrm>
          <a:off x="279400" y="48260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Hardware -&gt; 8.422 €</a:t>
          </a:r>
        </a:p>
      </xdr:txBody>
    </xdr:sp>
    <xdr:clientData fLocksWithSheet="0"/>
  </xdr:twoCellAnchor>
  <xdr:twoCellAnchor>
    <xdr:from>
      <xdr:col>1</xdr:col>
      <xdr:colOff>88900</xdr:colOff>
      <xdr:row>28</xdr:row>
      <xdr:rowOff>35560</xdr:rowOff>
    </xdr:from>
    <xdr:to>
      <xdr:col>2</xdr:col>
      <xdr:colOff>853440</xdr:colOff>
      <xdr:row>29</xdr:row>
      <xdr:rowOff>157480</xdr:rowOff>
    </xdr:to>
    <xdr:sp macro="" textlink="">
      <xdr:nvSpPr>
        <xdr:cNvPr id="46" name="Cat_Serv">
          <a:extLst>
            <a:ext uri="{FF2B5EF4-FFF2-40B4-BE49-F238E27FC236}">
              <a16:creationId xmlns:a16="http://schemas.microsoft.com/office/drawing/2014/main" id="{51803ACD-AB52-EBB6-CCDC-930DD24DC4AA}"/>
            </a:ext>
          </a:extLst>
        </xdr:cNvPr>
        <xdr:cNvSpPr txBox="1"/>
      </xdr:nvSpPr>
      <xdr:spPr>
        <a:xfrm>
          <a:off x="279400" y="51562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Servicios -&gt; 6.474 €</a:t>
          </a:r>
        </a:p>
      </xdr:txBody>
    </xdr:sp>
    <xdr:clientData fLocksWithSheet="0"/>
  </xdr:twoCellAnchor>
  <xdr:twoCellAnchor>
    <xdr:from>
      <xdr:col>1</xdr:col>
      <xdr:colOff>88900</xdr:colOff>
      <xdr:row>30</xdr:row>
      <xdr:rowOff>0</xdr:rowOff>
    </xdr:from>
    <xdr:to>
      <xdr:col>2</xdr:col>
      <xdr:colOff>853440</xdr:colOff>
      <xdr:row>31</xdr:row>
      <xdr:rowOff>121920</xdr:rowOff>
    </xdr:to>
    <xdr:sp macro="" textlink="">
      <xdr:nvSpPr>
        <xdr:cNvPr id="47" name="Cat_Soft">
          <a:extLst>
            <a:ext uri="{FF2B5EF4-FFF2-40B4-BE49-F238E27FC236}">
              <a16:creationId xmlns:a16="http://schemas.microsoft.com/office/drawing/2014/main" id="{18637792-B0A6-92C8-1F5E-CA726047A7F0}"/>
            </a:ext>
          </a:extLst>
        </xdr:cNvPr>
        <xdr:cNvSpPr txBox="1"/>
      </xdr:nvSpPr>
      <xdr:spPr>
        <a:xfrm>
          <a:off x="279400" y="54864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Software -&gt; 6.812 €</a:t>
          </a:r>
        </a:p>
      </xdr:txBody>
    </xdr:sp>
    <xdr:clientData fLocksWithSheet="0"/>
  </xdr:twoCellAnchor>
  <xdr:twoCellAnchor>
    <xdr:from>
      <xdr:col>1</xdr:col>
      <xdr:colOff>88900</xdr:colOff>
      <xdr:row>31</xdr:row>
      <xdr:rowOff>147320</xdr:rowOff>
    </xdr:from>
    <xdr:to>
      <xdr:col>2</xdr:col>
      <xdr:colOff>853440</xdr:colOff>
      <xdr:row>33</xdr:row>
      <xdr:rowOff>86360</xdr:rowOff>
    </xdr:to>
    <xdr:sp macro="" textlink="">
      <xdr:nvSpPr>
        <xdr:cNvPr id="48" name="Cat_Mant">
          <a:extLst>
            <a:ext uri="{FF2B5EF4-FFF2-40B4-BE49-F238E27FC236}">
              <a16:creationId xmlns:a16="http://schemas.microsoft.com/office/drawing/2014/main" id="{74DB1818-73D0-BBD6-B36B-0296CAEE31F4}"/>
            </a:ext>
          </a:extLst>
        </xdr:cNvPr>
        <xdr:cNvSpPr txBox="1"/>
      </xdr:nvSpPr>
      <xdr:spPr>
        <a:xfrm>
          <a:off x="279400" y="58166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Mantenimiento -&gt; 2.239 €</a:t>
          </a:r>
        </a:p>
      </xdr:txBody>
    </xdr:sp>
    <xdr:clientData fLocksWithSheet="0"/>
  </xdr:twoCellAnchor>
  <xdr:twoCellAnchor>
    <xdr:from>
      <xdr:col>3</xdr:col>
      <xdr:colOff>132080</xdr:colOff>
      <xdr:row>13</xdr:row>
      <xdr:rowOff>111760</xdr:rowOff>
    </xdr:from>
    <xdr:to>
      <xdr:col>5</xdr:col>
      <xdr:colOff>1056640</xdr:colOff>
      <xdr:row>23</xdr:row>
      <xdr:rowOff>137160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3FD638BA-AE8E-5D93-38DE-BE0DEA8EA66E}"/>
            </a:ext>
          </a:extLst>
        </xdr:cNvPr>
        <xdr:cNvSpPr/>
      </xdr:nvSpPr>
      <xdr:spPr>
        <a:xfrm>
          <a:off x="2349500" y="2489200"/>
          <a:ext cx="2540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195580</xdr:colOff>
      <xdr:row>13</xdr:row>
      <xdr:rowOff>137160</xdr:rowOff>
    </xdr:from>
    <xdr:to>
      <xdr:col>5</xdr:col>
      <xdr:colOff>993140</xdr:colOff>
      <xdr:row>15</xdr:row>
      <xdr:rowOff>76200</xdr:rowOff>
    </xdr:to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CB18E332-BBCD-6C22-C53A-214F89B4DAA5}"/>
            </a:ext>
          </a:extLst>
        </xdr:cNvPr>
        <xdr:cNvSpPr txBox="1"/>
      </xdr:nvSpPr>
      <xdr:spPr>
        <a:xfrm>
          <a:off x="2413000" y="2514600"/>
          <a:ext cx="2413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🏆 Top 5 Productos Facturados</a:t>
          </a:r>
        </a:p>
      </xdr:txBody>
    </xdr:sp>
    <xdr:clientData fLocksWithSheet="0"/>
  </xdr:twoCellAnchor>
  <xdr:twoCellAnchor>
    <xdr:from>
      <xdr:col>3</xdr:col>
      <xdr:colOff>195580</xdr:colOff>
      <xdr:row>15</xdr:row>
      <xdr:rowOff>101600</xdr:rowOff>
    </xdr:from>
    <xdr:to>
      <xdr:col>5</xdr:col>
      <xdr:colOff>993140</xdr:colOff>
      <xdr:row>23</xdr:row>
      <xdr:rowOff>86360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47BE7BFD-AC7B-CF40-121E-AE0A2D6C58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6</xdr:col>
      <xdr:colOff>86360</xdr:colOff>
      <xdr:row>13</xdr:row>
      <xdr:rowOff>111760</xdr:rowOff>
    </xdr:from>
    <xdr:to>
      <xdr:col>8</xdr:col>
      <xdr:colOff>1010920</xdr:colOff>
      <xdr:row>23</xdr:row>
      <xdr:rowOff>137160</xdr:rowOff>
    </xdr:to>
    <xdr:sp macro="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6F3C81A0-92E1-07BD-1388-96B5E641BFE2}"/>
            </a:ext>
          </a:extLst>
        </xdr:cNvPr>
        <xdr:cNvSpPr/>
      </xdr:nvSpPr>
      <xdr:spPr>
        <a:xfrm>
          <a:off x="5207000" y="2489200"/>
          <a:ext cx="2540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13</xdr:row>
      <xdr:rowOff>137160</xdr:rowOff>
    </xdr:from>
    <xdr:to>
      <xdr:col>8</xdr:col>
      <xdr:colOff>960120</xdr:colOff>
      <xdr:row>16</xdr:row>
      <xdr:rowOff>45720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3B98326-0CC7-9921-B5F0-3383E9AAE68C}"/>
            </a:ext>
          </a:extLst>
        </xdr:cNvPr>
        <xdr:cNvSpPr txBox="1"/>
      </xdr:nvSpPr>
      <xdr:spPr>
        <a:xfrm>
          <a:off x="5283200" y="2514600"/>
          <a:ext cx="24130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🏢 Segmentación de Clientes
Grandes Cuentas vs PYMES</a:t>
          </a:r>
        </a:p>
      </xdr:txBody>
    </xdr:sp>
    <xdr:clientData fLocksWithSheet="0"/>
  </xdr:twoCellAnchor>
  <xdr:twoCellAnchor>
    <xdr:from>
      <xdr:col>6</xdr:col>
      <xdr:colOff>213360</xdr:colOff>
      <xdr:row>17</xdr:row>
      <xdr:rowOff>15240</xdr:rowOff>
    </xdr:from>
    <xdr:to>
      <xdr:col>8</xdr:col>
      <xdr:colOff>883920</xdr:colOff>
      <xdr:row>18</xdr:row>
      <xdr:rowOff>137160</xdr:rowOff>
    </xdr:to>
    <xdr:sp macro="" textlink="">
      <xdr:nvSpPr>
        <xdr:cNvPr id="54" name="Rectángulo: esquinas redondeadas 53">
          <a:extLst>
            <a:ext uri="{FF2B5EF4-FFF2-40B4-BE49-F238E27FC236}">
              <a16:creationId xmlns:a16="http://schemas.microsoft.com/office/drawing/2014/main" id="{0EC673E0-D443-B0EB-EE5C-47A0919ECA41}"/>
            </a:ext>
          </a:extLst>
        </xdr:cNvPr>
        <xdr:cNvSpPr/>
      </xdr:nvSpPr>
      <xdr:spPr>
        <a:xfrm>
          <a:off x="5334000" y="3124200"/>
          <a:ext cx="2286000" cy="3048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17</xdr:row>
      <xdr:rowOff>15240</xdr:rowOff>
    </xdr:from>
    <xdr:to>
      <xdr:col>7</xdr:col>
      <xdr:colOff>774700</xdr:colOff>
      <xdr:row>18</xdr:row>
      <xdr:rowOff>137160</xdr:rowOff>
    </xdr:to>
    <xdr:sp macro="" textlink="">
      <xdr:nvSpPr>
        <xdr:cNvPr id="55" name="Seg_Grandes">
          <a:extLst>
            <a:ext uri="{FF2B5EF4-FFF2-40B4-BE49-F238E27FC236}">
              <a16:creationId xmlns:a16="http://schemas.microsoft.com/office/drawing/2014/main" id="{8A26E449-47EA-111D-61CD-F34937ACA27F}"/>
            </a:ext>
          </a:extLst>
        </xdr:cNvPr>
        <xdr:cNvSpPr/>
      </xdr:nvSpPr>
      <xdr:spPr>
        <a:xfrm>
          <a:off x="5334000" y="3124200"/>
          <a:ext cx="889000" cy="3048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Grandes Cuentas (38%)</a:t>
          </a:r>
        </a:p>
      </xdr:txBody>
    </xdr:sp>
    <xdr:clientData fLocksWithSheet="0"/>
  </xdr:twoCellAnchor>
  <xdr:twoCellAnchor>
    <xdr:from>
      <xdr:col>6</xdr:col>
      <xdr:colOff>213360</xdr:colOff>
      <xdr:row>20</xdr:row>
      <xdr:rowOff>0</xdr:rowOff>
    </xdr:from>
    <xdr:to>
      <xdr:col>8</xdr:col>
      <xdr:colOff>883920</xdr:colOff>
      <xdr:row>21</xdr:row>
      <xdr:rowOff>121920</xdr:rowOff>
    </xdr:to>
    <xdr:sp macro="" textlink="">
      <xdr:nvSpPr>
        <xdr:cNvPr id="56" name="Rectángulo: esquinas redondeadas 55">
          <a:extLst>
            <a:ext uri="{FF2B5EF4-FFF2-40B4-BE49-F238E27FC236}">
              <a16:creationId xmlns:a16="http://schemas.microsoft.com/office/drawing/2014/main" id="{E0B4A4DA-800D-7033-EAF6-E54BEB31DF30}"/>
            </a:ext>
          </a:extLst>
        </xdr:cNvPr>
        <xdr:cNvSpPr/>
      </xdr:nvSpPr>
      <xdr:spPr>
        <a:xfrm>
          <a:off x="5334000" y="3657600"/>
          <a:ext cx="2286000" cy="3048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20</xdr:row>
      <xdr:rowOff>0</xdr:rowOff>
    </xdr:from>
    <xdr:to>
      <xdr:col>8</xdr:col>
      <xdr:colOff>58420</xdr:colOff>
      <xdr:row>21</xdr:row>
      <xdr:rowOff>121920</xdr:rowOff>
    </xdr:to>
    <xdr:sp macro="" textlink="">
      <xdr:nvSpPr>
        <xdr:cNvPr id="57" name="Seg_Pymes">
          <a:extLst>
            <a:ext uri="{FF2B5EF4-FFF2-40B4-BE49-F238E27FC236}">
              <a16:creationId xmlns:a16="http://schemas.microsoft.com/office/drawing/2014/main" id="{FCAEA683-55E4-4364-B205-A45988938893}"/>
            </a:ext>
          </a:extLst>
        </xdr:cNvPr>
        <xdr:cNvSpPr/>
      </xdr:nvSpPr>
      <xdr:spPr>
        <a:xfrm>
          <a:off x="5334000" y="3657600"/>
          <a:ext cx="1460500" cy="3048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PYMES &amp; Autónomos (62%)</a:t>
          </a:r>
        </a:p>
      </xdr:txBody>
    </xdr:sp>
    <xdr:clientData fLocksWithSheet="0"/>
  </xdr:twoCellAnchor>
  <xdr:twoCellAnchor>
    <xdr:from>
      <xdr:col>9</xdr:col>
      <xdr:colOff>40640</xdr:colOff>
      <xdr:row>13</xdr:row>
      <xdr:rowOff>111760</xdr:rowOff>
    </xdr:from>
    <xdr:to>
      <xdr:col>14</xdr:col>
      <xdr:colOff>495300</xdr:colOff>
      <xdr:row>23</xdr:row>
      <xdr:rowOff>137160</xdr:rowOff>
    </xdr:to>
    <xdr:sp macro="" textlink="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3E7899FF-9686-AD71-04B2-89EF8240D9F1}"/>
            </a:ext>
          </a:extLst>
        </xdr:cNvPr>
        <xdr:cNvSpPr/>
      </xdr:nvSpPr>
      <xdr:spPr>
        <a:xfrm>
          <a:off x="8064500" y="2489200"/>
          <a:ext cx="4699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129540</xdr:colOff>
      <xdr:row>13</xdr:row>
      <xdr:rowOff>137160</xdr:rowOff>
    </xdr:from>
    <xdr:to>
      <xdr:col>14</xdr:col>
      <xdr:colOff>330200</xdr:colOff>
      <xdr:row>15</xdr:row>
      <xdr:rowOff>76200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5A58EFD6-EBF6-F66B-A089-B29FB8DE84B1}"/>
            </a:ext>
          </a:extLst>
        </xdr:cNvPr>
        <xdr:cNvSpPr txBox="1"/>
      </xdr:nvSpPr>
      <xdr:spPr>
        <a:xfrm>
          <a:off x="8153400" y="2514600"/>
          <a:ext cx="444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📊 Evolución Bimensual por Modalidad de Pago</a:t>
          </a:r>
        </a:p>
      </xdr:txBody>
    </xdr:sp>
    <xdr:clientData fLocksWithSheet="0"/>
  </xdr:twoCellAnchor>
  <xdr:twoCellAnchor>
    <xdr:from>
      <xdr:col>9</xdr:col>
      <xdr:colOff>129540</xdr:colOff>
      <xdr:row>15</xdr:row>
      <xdr:rowOff>101600</xdr:rowOff>
    </xdr:from>
    <xdr:to>
      <xdr:col>14</xdr:col>
      <xdr:colOff>393700</xdr:colOff>
      <xdr:row>23</xdr:row>
      <xdr:rowOff>86360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DE78B310-69D0-B57F-E597-D85636716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3</xdr:col>
      <xdr:colOff>132080</xdr:colOff>
      <xdr:row>24</xdr:row>
      <xdr:rowOff>81280</xdr:rowOff>
    </xdr:from>
    <xdr:to>
      <xdr:col>5</xdr:col>
      <xdr:colOff>1056640</xdr:colOff>
      <xdr:row>34</xdr:row>
      <xdr:rowOff>30480</xdr:rowOff>
    </xdr:to>
    <xdr:sp macro="" textlink="">
      <xdr:nvSpPr>
        <xdr:cNvPr id="61" name="Rectángulo: esquinas redondeadas 60">
          <a:extLst>
            <a:ext uri="{FF2B5EF4-FFF2-40B4-BE49-F238E27FC236}">
              <a16:creationId xmlns:a16="http://schemas.microsoft.com/office/drawing/2014/main" id="{99182819-A1E8-98AE-1D58-2944D047FC0D}"/>
            </a:ext>
          </a:extLst>
        </xdr:cNvPr>
        <xdr:cNvSpPr/>
      </xdr:nvSpPr>
      <xdr:spPr>
        <a:xfrm>
          <a:off x="2349500" y="4470400"/>
          <a:ext cx="2540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195580</xdr:colOff>
      <xdr:row>24</xdr:row>
      <xdr:rowOff>106680</xdr:rowOff>
    </xdr:from>
    <xdr:to>
      <xdr:col>5</xdr:col>
      <xdr:colOff>993140</xdr:colOff>
      <xdr:row>26</xdr:row>
      <xdr:rowOff>45720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96355E8E-131E-C8DD-F91F-8676F4956705}"/>
            </a:ext>
          </a:extLst>
        </xdr:cNvPr>
        <xdr:cNvSpPr txBox="1"/>
      </xdr:nvSpPr>
      <xdr:spPr>
        <a:xfrm>
          <a:off x="2413000" y="4495800"/>
          <a:ext cx="2413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💳 Mix de Formas de Pago</a:t>
          </a:r>
        </a:p>
      </xdr:txBody>
    </xdr:sp>
    <xdr:clientData fLocksWithSheet="0"/>
  </xdr:twoCellAnchor>
  <xdr:twoCellAnchor>
    <xdr:from>
      <xdr:col>3</xdr:col>
      <xdr:colOff>195580</xdr:colOff>
      <xdr:row>26</xdr:row>
      <xdr:rowOff>45720</xdr:rowOff>
    </xdr:from>
    <xdr:to>
      <xdr:col>5</xdr:col>
      <xdr:colOff>993140</xdr:colOff>
      <xdr:row>33</xdr:row>
      <xdr:rowOff>162560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493A0722-83CE-2BAB-BA32-36A036CA5B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6</xdr:col>
      <xdr:colOff>86360</xdr:colOff>
      <xdr:row>24</xdr:row>
      <xdr:rowOff>81280</xdr:rowOff>
    </xdr:from>
    <xdr:to>
      <xdr:col>10</xdr:col>
      <xdr:colOff>411480</xdr:colOff>
      <xdr:row>34</xdr:row>
      <xdr:rowOff>30480</xdr:rowOff>
    </xdr:to>
    <xdr:sp macro="" textlink="">
      <xdr:nvSpPr>
        <xdr:cNvPr id="64" name="Rectángulo: esquinas redondeadas 63">
          <a:extLst>
            <a:ext uri="{FF2B5EF4-FFF2-40B4-BE49-F238E27FC236}">
              <a16:creationId xmlns:a16="http://schemas.microsoft.com/office/drawing/2014/main" id="{95F41A46-4BFB-A1E1-C3AE-AE2A33CFE158}"/>
            </a:ext>
          </a:extLst>
        </xdr:cNvPr>
        <xdr:cNvSpPr/>
      </xdr:nvSpPr>
      <xdr:spPr>
        <a:xfrm>
          <a:off x="5207000" y="4470400"/>
          <a:ext cx="3556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24</xdr:row>
      <xdr:rowOff>106680</xdr:rowOff>
    </xdr:from>
    <xdr:to>
      <xdr:col>10</xdr:col>
      <xdr:colOff>233680</xdr:colOff>
      <xdr:row>26</xdr:row>
      <xdr:rowOff>45720</xdr:rowOff>
    </xdr:to>
    <xdr:sp macro="" textlink="">
      <xdr:nvSpPr>
        <xdr:cNvPr id="65" name="CuadroTexto 64">
          <a:extLst>
            <a:ext uri="{FF2B5EF4-FFF2-40B4-BE49-F238E27FC236}">
              <a16:creationId xmlns:a16="http://schemas.microsoft.com/office/drawing/2014/main" id="{E6D33BBB-407D-242B-A2BF-3900CB845624}"/>
            </a:ext>
          </a:extLst>
        </xdr:cNvPr>
        <xdr:cNvSpPr txBox="1"/>
      </xdr:nvSpPr>
      <xdr:spPr>
        <a:xfrm>
          <a:off x="5283200" y="4495800"/>
          <a:ext cx="3302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🏷️ Facturación por Categoría</a:t>
          </a:r>
        </a:p>
      </xdr:txBody>
    </xdr:sp>
    <xdr:clientData fLocksWithSheet="0"/>
  </xdr:twoCellAnchor>
  <xdr:twoCellAnchor>
    <xdr:from>
      <xdr:col>6</xdr:col>
      <xdr:colOff>162560</xdr:colOff>
      <xdr:row>26</xdr:row>
      <xdr:rowOff>45720</xdr:rowOff>
    </xdr:from>
    <xdr:to>
      <xdr:col>10</xdr:col>
      <xdr:colOff>335280</xdr:colOff>
      <xdr:row>33</xdr:row>
      <xdr:rowOff>162560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37E74270-8269-6333-5E0C-96CD146E1F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10</xdr:col>
      <xdr:colOff>728980</xdr:colOff>
      <xdr:row>24</xdr:row>
      <xdr:rowOff>81280</xdr:rowOff>
    </xdr:from>
    <xdr:to>
      <xdr:col>14</xdr:col>
      <xdr:colOff>495300</xdr:colOff>
      <xdr:row>34</xdr:row>
      <xdr:rowOff>30480</xdr:rowOff>
    </xdr:to>
    <xdr:sp macro="" textlink="">
      <xdr:nvSpPr>
        <xdr:cNvPr id="67" name="Rectángulo: esquinas redondeadas 66">
          <a:extLst>
            <a:ext uri="{FF2B5EF4-FFF2-40B4-BE49-F238E27FC236}">
              <a16:creationId xmlns:a16="http://schemas.microsoft.com/office/drawing/2014/main" id="{38DDBA9C-C07F-3983-DA4C-72A44175B123}"/>
            </a:ext>
          </a:extLst>
        </xdr:cNvPr>
        <xdr:cNvSpPr/>
      </xdr:nvSpPr>
      <xdr:spPr>
        <a:xfrm>
          <a:off x="9080500" y="4470400"/>
          <a:ext cx="3683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10</xdr:col>
      <xdr:colOff>817880</xdr:colOff>
      <xdr:row>24</xdr:row>
      <xdr:rowOff>106680</xdr:rowOff>
    </xdr:from>
    <xdr:to>
      <xdr:col>14</xdr:col>
      <xdr:colOff>330200</xdr:colOff>
      <xdr:row>26</xdr:row>
      <xdr:rowOff>45720</xdr:rowOff>
    </xdr:to>
    <xdr:sp macro="" textlink="">
      <xdr:nvSpPr>
        <xdr:cNvPr id="68" name="CuadroTexto 67">
          <a:extLst>
            <a:ext uri="{FF2B5EF4-FFF2-40B4-BE49-F238E27FC236}">
              <a16:creationId xmlns:a16="http://schemas.microsoft.com/office/drawing/2014/main" id="{73CC5049-5DA8-AD5B-20B6-B46E777A3C32}"/>
            </a:ext>
          </a:extLst>
        </xdr:cNvPr>
        <xdr:cNvSpPr txBox="1"/>
      </xdr:nvSpPr>
      <xdr:spPr>
        <a:xfrm>
          <a:off x="9169400" y="4495800"/>
          <a:ext cx="3429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🌐 Cuota por Área Comercial</a:t>
          </a:r>
        </a:p>
      </xdr:txBody>
    </xdr:sp>
    <xdr:clientData fLocksWithSheet="0"/>
  </xdr:twoCellAnchor>
  <xdr:twoCellAnchor>
    <xdr:from>
      <xdr:col>10</xdr:col>
      <xdr:colOff>817880</xdr:colOff>
      <xdr:row>26</xdr:row>
      <xdr:rowOff>45720</xdr:rowOff>
    </xdr:from>
    <xdr:to>
      <xdr:col>14</xdr:col>
      <xdr:colOff>406400</xdr:colOff>
      <xdr:row>33</xdr:row>
      <xdr:rowOff>162560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BB3C20E2-48B3-94DD-7DD0-902FEAD2EF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1</xdr:col>
      <xdr:colOff>38100</xdr:colOff>
      <xdr:row>34</xdr:row>
      <xdr:rowOff>157480</xdr:rowOff>
    </xdr:from>
    <xdr:to>
      <xdr:col>14</xdr:col>
      <xdr:colOff>469900</xdr:colOff>
      <xdr:row>36</xdr:row>
      <xdr:rowOff>121920</xdr:rowOff>
    </xdr:to>
    <xdr:sp macro="" textlink="">
      <xdr:nvSpPr>
        <xdr:cNvPr id="70" name="CuadroTexto 69">
          <a:extLst>
            <a:ext uri="{FF2B5EF4-FFF2-40B4-BE49-F238E27FC236}">
              <a16:creationId xmlns:a16="http://schemas.microsoft.com/office/drawing/2014/main" id="{6EA3E2E0-BBF8-56DD-2912-5936EEAD9224}"/>
            </a:ext>
          </a:extLst>
        </xdr:cNvPr>
        <xdr:cNvSpPr txBox="1"/>
      </xdr:nvSpPr>
      <xdr:spPr>
        <a:xfrm>
          <a:off x="228600" y="6375400"/>
          <a:ext cx="125095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>
              <a:solidFill>
                <a:srgbClr val="777777"/>
              </a:solidFill>
              <a:latin typeface="Segoe UI" panose="020B0502040204020203" pitchFamily="34" charset="0"/>
            </a:rPr>
            <a:t>Este Dashboard se fundamenta en los registros automáticos de ventas y clientes con sincronización en tiempo real vía macros VBA. Cualquier cambio se actualiza instantáneamente.</a:t>
          </a:r>
        </a:p>
      </xdr:txBody>
    </xdr:sp>
    <xdr:clientData fLocksWithSheet="0"/>
  </xdr:twoCellAnchor>
  <xdr:twoCellAnchor>
    <xdr:from>
      <xdr:col>13</xdr:col>
      <xdr:colOff>937260</xdr:colOff>
      <xdr:row>1</xdr:row>
      <xdr:rowOff>20320</xdr:rowOff>
    </xdr:from>
    <xdr:to>
      <xdr:col>14</xdr:col>
      <xdr:colOff>330200</xdr:colOff>
      <xdr:row>3</xdr:row>
      <xdr:rowOff>60960</xdr:rowOff>
    </xdr:to>
    <xdr:pic macro="AvisoMarcaDrByte">
      <xdr:nvPicPr>
        <xdr:cNvPr id="73" name="DrByte_Logo_Locked">
          <a:extLst>
            <a:ext uri="{FF2B5EF4-FFF2-40B4-BE49-F238E27FC236}">
              <a16:creationId xmlns:a16="http://schemas.microsoft.com/office/drawing/2014/main" id="{7D2605C6-EE47-CFB9-1AFF-EB9C36061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0" y="203200"/>
          <a:ext cx="406400" cy="406400"/>
        </a:xfrm>
        <a:prstGeom prst="rect">
          <a:avLst/>
        </a:prstGeom>
        <a:ln w="25400">
          <a:solidFill>
            <a:srgbClr val="00B8FF"/>
          </a:solidFill>
        </a:ln>
      </xdr:spPr>
    </xdr:pic>
    <xdr:clientData/>
  </xdr:twoCellAnchor>
  <xdr:twoCellAnchor>
    <xdr:from>
      <xdr:col>9</xdr:col>
      <xdr:colOff>167640</xdr:colOff>
      <xdr:row>0</xdr:row>
      <xdr:rowOff>152400</xdr:rowOff>
    </xdr:from>
    <xdr:to>
      <xdr:col>13</xdr:col>
      <xdr:colOff>873760</xdr:colOff>
      <xdr:row>3</xdr:row>
      <xdr:rowOff>35560</xdr:rowOff>
    </xdr:to>
    <xdr:sp macro="AvisoMarcaDrByte" textlink="">
      <xdr:nvSpPr>
        <xdr:cNvPr id="71" name="DrByte_Contact_Box">
          <a:extLst>
            <a:ext uri="{FF2B5EF4-FFF2-40B4-BE49-F238E27FC236}">
              <a16:creationId xmlns:a16="http://schemas.microsoft.com/office/drawing/2014/main" id="{5B8AD979-FA5A-8F5A-55C0-6DF7CCB8F016}"/>
            </a:ext>
          </a:extLst>
        </xdr:cNvPr>
        <xdr:cNvSpPr txBox="1"/>
      </xdr:nvSpPr>
      <xdr:spPr>
        <a:xfrm>
          <a:off x="8191500" y="152400"/>
          <a:ext cx="393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r"/>
          <a:r>
            <a:rPr lang="es-ES" sz="800" b="1">
              <a:solidFill>
                <a:srgbClr val="00B8FF"/>
              </a:solidFill>
              <a:latin typeface="Segoe UI" panose="020B0502040204020203" pitchFamily="34" charset="0"/>
            </a:rPr>
            <a:t>DR. BYTE  |  Soporte &amp; ConsultorÃ­a
Tel: +34 607 35 39 10   |   hola.drbyte@gmail.com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210820</xdr:colOff>
      <xdr:row>14</xdr:row>
      <xdr:rowOff>45720</xdr:rowOff>
    </xdr:from>
    <xdr:to>
      <xdr:col>4</xdr:col>
      <xdr:colOff>88900</xdr:colOff>
      <xdr:row>16</xdr:row>
      <xdr:rowOff>86360</xdr:rowOff>
    </xdr:to>
    <xdr:sp macro="RegistrarCliente" textlink="">
      <xdr:nvSpPr>
        <xdr:cNvPr id="2" name="BtnRegistrarCliente">
          <a:extLst>
            <a:ext uri="{FF2B5EF4-FFF2-40B4-BE49-F238E27FC236}">
              <a16:creationId xmlns:a16="http://schemas.microsoft.com/office/drawing/2014/main" id="{C3E9DC64-DF6B-281E-F544-B0A567D67975}"/>
            </a:ext>
          </a:extLst>
        </xdr:cNvPr>
        <xdr:cNvSpPr/>
      </xdr:nvSpPr>
      <xdr:spPr>
        <a:xfrm>
          <a:off x="2032000" y="3048000"/>
          <a:ext cx="1905000" cy="4064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💾 REGISTRAR CLIENTE</a:t>
          </a:r>
        </a:p>
      </xdr:txBody>
    </xdr:sp>
    <xdr:clientData fLocksWithSheet="0"/>
  </xdr:twoCellAnchor>
  <xdr:twoCellAnchor>
    <xdr:from>
      <xdr:col>4</xdr:col>
      <xdr:colOff>279400</xdr:colOff>
      <xdr:row>14</xdr:row>
      <xdr:rowOff>45720</xdr:rowOff>
    </xdr:from>
    <xdr:to>
      <xdr:col>6</xdr:col>
      <xdr:colOff>144780</xdr:colOff>
      <xdr:row>16</xdr:row>
      <xdr:rowOff>86360</xdr:rowOff>
    </xdr:to>
    <xdr:sp macro="LimpiarFormularioCliente" textlink="">
      <xdr:nvSpPr>
        <xdr:cNvPr id="3" name="BtnLimpiarCliente">
          <a:extLst>
            <a:ext uri="{FF2B5EF4-FFF2-40B4-BE49-F238E27FC236}">
              <a16:creationId xmlns:a16="http://schemas.microsoft.com/office/drawing/2014/main" id="{9C43EB81-03E9-A063-4383-C506A52D5253}"/>
            </a:ext>
          </a:extLst>
        </xdr:cNvPr>
        <xdr:cNvSpPr/>
      </xdr:nvSpPr>
      <xdr:spPr>
        <a:xfrm>
          <a:off x="4127500" y="30480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🔄 LIMPIAR</a:t>
          </a:r>
        </a:p>
      </xdr:txBody>
    </xdr:sp>
    <xdr:clientData fLocksWithSheet="0"/>
  </xdr:twoCellAnchor>
  <xdr:twoCellAnchor>
    <xdr:from>
      <xdr:col>2</xdr:col>
      <xdr:colOff>210820</xdr:colOff>
      <xdr:row>17</xdr:row>
      <xdr:rowOff>5080</xdr:rowOff>
    </xdr:from>
    <xdr:to>
      <xdr:col>6</xdr:col>
      <xdr:colOff>144780</xdr:colOff>
      <xdr:row>19</xdr:row>
      <xdr:rowOff>45720</xdr:rowOff>
    </xdr:to>
    <xdr:sp macro="CargarDatosEjemplo" textlink="">
      <xdr:nvSpPr>
        <xdr:cNvPr id="4" name="BtnCargarDemo">
          <a:extLst>
            <a:ext uri="{FF2B5EF4-FFF2-40B4-BE49-F238E27FC236}">
              <a16:creationId xmlns:a16="http://schemas.microsoft.com/office/drawing/2014/main" id="{A129F872-5DE7-65C4-51C4-F2C4F07197D8}"/>
            </a:ext>
          </a:extLst>
        </xdr:cNvPr>
        <xdr:cNvSpPr/>
      </xdr:nvSpPr>
      <xdr:spPr>
        <a:xfrm>
          <a:off x="2032000" y="3556000"/>
          <a:ext cx="3302000" cy="4064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🎲 RELLENAR DATOS DE EJEMPLO</a:t>
          </a:r>
        </a:p>
      </xdr:txBody>
    </xdr:sp>
    <xdr:clientData fLocksWithSheet="0"/>
  </xdr:twoCellAnchor>
  <xdr:twoCellAnchor>
    <xdr:from>
      <xdr:col>7</xdr:col>
      <xdr:colOff>106680</xdr:colOff>
      <xdr:row>19</xdr:row>
      <xdr:rowOff>83820</xdr:rowOff>
    </xdr:from>
    <xdr:to>
      <xdr:col>8</xdr:col>
      <xdr:colOff>998220</xdr:colOff>
      <xdr:row>21</xdr:row>
      <xdr:rowOff>124460</xdr:rowOff>
    </xdr:to>
    <xdr:sp macro="RegistrarVenta" textlink="">
      <xdr:nvSpPr>
        <xdr:cNvPr id="5" name="BtnRegistrarVenta">
          <a:extLst>
            <a:ext uri="{FF2B5EF4-FFF2-40B4-BE49-F238E27FC236}">
              <a16:creationId xmlns:a16="http://schemas.microsoft.com/office/drawing/2014/main" id="{DAFB24F8-6181-E436-7E3B-8C063DF582BC}"/>
            </a:ext>
          </a:extLst>
        </xdr:cNvPr>
        <xdr:cNvSpPr/>
      </xdr:nvSpPr>
      <xdr:spPr>
        <a:xfrm>
          <a:off x="6858000" y="4000500"/>
          <a:ext cx="1905000" cy="4064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✅ REGISTRAR VENTA</a:t>
          </a:r>
        </a:p>
      </xdr:txBody>
    </xdr:sp>
    <xdr:clientData fLocksWithSheet="0"/>
  </xdr:twoCellAnchor>
  <xdr:twoCellAnchor>
    <xdr:from>
      <xdr:col>9</xdr:col>
      <xdr:colOff>175260</xdr:colOff>
      <xdr:row>19</xdr:row>
      <xdr:rowOff>83820</xdr:rowOff>
    </xdr:from>
    <xdr:to>
      <xdr:col>11</xdr:col>
      <xdr:colOff>40640</xdr:colOff>
      <xdr:row>21</xdr:row>
      <xdr:rowOff>124460</xdr:rowOff>
    </xdr:to>
    <xdr:sp macro="LimpiarFormularioVenta" textlink="">
      <xdr:nvSpPr>
        <xdr:cNvPr id="6" name="BtnLimpiarVenta">
          <a:extLst>
            <a:ext uri="{FF2B5EF4-FFF2-40B4-BE49-F238E27FC236}">
              <a16:creationId xmlns:a16="http://schemas.microsoft.com/office/drawing/2014/main" id="{3CE1D2CC-87E0-7405-8305-9BC87AFD1625}"/>
            </a:ext>
          </a:extLst>
        </xdr:cNvPr>
        <xdr:cNvSpPr/>
      </xdr:nvSpPr>
      <xdr:spPr>
        <a:xfrm>
          <a:off x="8953500" y="40005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🔄 LIMPIAR</a:t>
          </a:r>
        </a:p>
      </xdr:txBody>
    </xdr:sp>
    <xdr:clientData fLocksWithSheet="0"/>
  </xdr:twoCellAnchor>
  <xdr:twoCellAnchor>
    <xdr:from>
      <xdr:col>11</xdr:col>
      <xdr:colOff>1310640</xdr:colOff>
      <xdr:row>14</xdr:row>
      <xdr:rowOff>45720</xdr:rowOff>
    </xdr:from>
    <xdr:to>
      <xdr:col>13</xdr:col>
      <xdr:colOff>678180</xdr:colOff>
      <xdr:row>16</xdr:row>
      <xdr:rowOff>86360</xdr:rowOff>
    </xdr:to>
    <xdr:sp macro="IrADashboard" textlink="">
      <xdr:nvSpPr>
        <xdr:cNvPr id="7" name="BtnGoDashboard">
          <a:extLst>
            <a:ext uri="{FF2B5EF4-FFF2-40B4-BE49-F238E27FC236}">
              <a16:creationId xmlns:a16="http://schemas.microsoft.com/office/drawing/2014/main" id="{97D997AF-A521-D72B-DF27-D996DA97BEC8}"/>
            </a:ext>
          </a:extLst>
        </xdr:cNvPr>
        <xdr:cNvSpPr/>
      </xdr:nvSpPr>
      <xdr:spPr>
        <a:xfrm>
          <a:off x="11430000" y="3048000"/>
          <a:ext cx="2286000" cy="406400"/>
        </a:xfrm>
        <a:prstGeom prst="roundRect">
          <a:avLst/>
        </a:prstGeom>
        <a:solidFill>
          <a:srgbClr val="9200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📊 VER DASHBOARD</a:t>
          </a:r>
        </a:p>
      </xdr:txBody>
    </xdr:sp>
    <xdr:clientData fLocksWithSheet="0"/>
  </xdr:twoCellAnchor>
  <xdr:twoCellAnchor>
    <xdr:from>
      <xdr:col>11</xdr:col>
      <xdr:colOff>1310640</xdr:colOff>
      <xdr:row>17</xdr:row>
      <xdr:rowOff>68580</xdr:rowOff>
    </xdr:from>
    <xdr:to>
      <xdr:col>13</xdr:col>
      <xdr:colOff>678180</xdr:colOff>
      <xdr:row>19</xdr:row>
      <xdr:rowOff>109220</xdr:rowOff>
    </xdr:to>
    <xdr:sp macro="ActualizarTotales" textlink="">
      <xdr:nvSpPr>
        <xdr:cNvPr id="8" name="BtnActualizarTotales">
          <a:extLst>
            <a:ext uri="{FF2B5EF4-FFF2-40B4-BE49-F238E27FC236}">
              <a16:creationId xmlns:a16="http://schemas.microsoft.com/office/drawing/2014/main" id="{8845DAD2-544A-F456-E339-491D6ECCD157}"/>
            </a:ext>
          </a:extLst>
        </xdr:cNvPr>
        <xdr:cNvSpPr/>
      </xdr:nvSpPr>
      <xdr:spPr>
        <a:xfrm>
          <a:off x="11430000" y="3619500"/>
          <a:ext cx="2286000" cy="406400"/>
        </a:xfrm>
        <a:prstGeom prst="roundRect">
          <a:avLst/>
        </a:prstGeom>
        <a:solidFill>
          <a:srgbClr val="90441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⚡ ACTUALIZAR TOTALES</a:t>
          </a:r>
        </a:p>
      </xdr:txBody>
    </xdr:sp>
    <xdr:clientData fLocksWithSheet="0"/>
  </xdr:twoCellAnchor>
  <xdr:twoCellAnchor>
    <xdr:from>
      <xdr:col>0</xdr:col>
      <xdr:colOff>254000</xdr:colOff>
      <xdr:row>0</xdr:row>
      <xdr:rowOff>127000</xdr:rowOff>
    </xdr:from>
    <xdr:to>
      <xdr:col>1</xdr:col>
      <xdr:colOff>604520</xdr:colOff>
      <xdr:row>2</xdr:row>
      <xdr:rowOff>96520</xdr:rowOff>
    </xdr:to>
    <xdr:pic>
      <xdr:nvPicPr>
        <xdr:cNvPr id="11" name="DrByte_Logo_Panel">
          <a:extLst>
            <a:ext uri="{FF2B5EF4-FFF2-40B4-BE49-F238E27FC236}">
              <a16:creationId xmlns:a16="http://schemas.microsoft.com/office/drawing/2014/main" id="{95F83A7D-0B15-2CD9-868D-955D4750FD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0" y="127000"/>
          <a:ext cx="609600" cy="609600"/>
        </a:xfrm>
        <a:prstGeom prst="rect">
          <a:avLst/>
        </a:prstGeom>
        <a:ln w="19050">
          <a:solidFill>
            <a:srgbClr val="00B8FF"/>
          </a:solidFill>
        </a:ln>
      </xdr:spPr>
    </xdr:pic>
    <xdr:clientData/>
  </xdr:twoCellAnchor>
  <xdr:twoCellAnchor>
    <xdr:from>
      <xdr:col>1</xdr:col>
      <xdr:colOff>756920</xdr:colOff>
      <xdr:row>0</xdr:row>
      <xdr:rowOff>152400</xdr:rowOff>
    </xdr:from>
    <xdr:to>
      <xdr:col>6</xdr:col>
      <xdr:colOff>1541780</xdr:colOff>
      <xdr:row>1</xdr:row>
      <xdr:rowOff>223520</xdr:rowOff>
    </xdr:to>
    <xdr:sp macro="" textlink="">
      <xdr:nvSpPr>
        <xdr:cNvPr id="9" name="DrByte_Contact_Panel">
          <a:extLst>
            <a:ext uri="{FF2B5EF4-FFF2-40B4-BE49-F238E27FC236}">
              <a16:creationId xmlns:a16="http://schemas.microsoft.com/office/drawing/2014/main" id="{C029A844-8305-C3B1-2DD8-86ED1D794172}"/>
            </a:ext>
          </a:extLst>
        </xdr:cNvPr>
        <xdr:cNvSpPr txBox="1"/>
      </xdr:nvSpPr>
      <xdr:spPr>
        <a:xfrm>
          <a:off x="1016000" y="152400"/>
          <a:ext cx="571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00B8FF"/>
              </a:solidFill>
              <a:latin typeface="Segoe UI" panose="020B0502040204020203" pitchFamily="34" charset="0"/>
            </a:rPr>
            <a:t>DR. BYTE | Soporte Técnico: +34 607 35 39 10   |   Email: hola.drbyte@gmail.com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F3850-8CD1-4C7D-B90E-6F369A1A4B59}">
  <sheetPr codeName="Hoja1">
    <tabColor rgb="FF920026"/>
    <pageSetUpPr fitToPage="1"/>
  </sheetPr>
  <dimension ref="A1:AC50"/>
  <sheetViews>
    <sheetView tabSelected="1" workbookViewId="0"/>
  </sheetViews>
  <sheetFormatPr baseColWidth="10" defaultRowHeight="14.4" x14ac:dyDescent="0.3"/>
  <cols>
    <col min="1" max="1" width="2.77734375" style="1" customWidth="1"/>
    <col min="2" max="3" width="14.77734375" style="1" customWidth="1"/>
    <col min="4" max="4" width="4.77734375" style="1" customWidth="1"/>
    <col min="5" max="6" width="18.77734375" style="1" customWidth="1"/>
    <col min="7" max="7" width="4.77734375" style="1" customWidth="1"/>
    <col min="8" max="9" width="18.77734375" style="1" customWidth="1"/>
    <col min="10" max="10" width="4.77734375" style="1" customWidth="1"/>
    <col min="11" max="12" width="18.77734375" style="1" customWidth="1"/>
    <col min="13" max="13" width="4.77734375" style="1" customWidth="1"/>
    <col min="14" max="15" width="14.77734375" style="1" customWidth="1"/>
    <col min="16" max="16384" width="11.5546875" style="1"/>
  </cols>
  <sheetData>
    <row r="1" spans="1:29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</row>
    <row r="2" spans="1:29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</row>
    <row r="3" spans="1:29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</row>
    <row r="4" spans="1:29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</row>
    <row r="5" spans="1:29" x14ac:dyDescent="0.3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</row>
    <row r="6" spans="1:29" x14ac:dyDescent="0.3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</row>
    <row r="7" spans="1:29" x14ac:dyDescent="0.3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</row>
    <row r="8" spans="1:29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</row>
    <row r="9" spans="1:29" x14ac:dyDescent="0.3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</row>
    <row r="10" spans="1:29" x14ac:dyDescent="0.3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</row>
    <row r="11" spans="1:29" x14ac:dyDescent="0.3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</row>
    <row r="12" spans="1:29" x14ac:dyDescent="0.3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</row>
    <row r="13" spans="1:29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</row>
    <row r="14" spans="1:29" x14ac:dyDescent="0.3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</row>
    <row r="15" spans="1:29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</row>
    <row r="16" spans="1:29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</row>
    <row r="17" spans="1:29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</row>
    <row r="18" spans="1:29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</row>
    <row r="19" spans="1:29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</row>
    <row r="20" spans="1:29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</row>
    <row r="21" spans="1:29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</row>
    <row r="22" spans="1:29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</row>
    <row r="23" spans="1:29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</row>
    <row r="24" spans="1:29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</row>
    <row r="25" spans="1:29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</row>
    <row r="26" spans="1:29" x14ac:dyDescent="0.3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</row>
    <row r="27" spans="1:29" x14ac:dyDescent="0.3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</row>
    <row r="28" spans="1:29" x14ac:dyDescent="0.3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</row>
    <row r="29" spans="1:29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</row>
    <row r="30" spans="1:29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</row>
    <row r="31" spans="1:29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</row>
    <row r="32" spans="1:29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</row>
    <row r="33" spans="1:29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</row>
    <row r="34" spans="1:29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</row>
    <row r="35" spans="1:29" x14ac:dyDescent="0.3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</row>
    <row r="36" spans="1:29" x14ac:dyDescent="0.3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</row>
    <row r="37" spans="1:29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</row>
    <row r="38" spans="1:29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</row>
    <row r="39" spans="1:29" x14ac:dyDescent="0.3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</row>
    <row r="40" spans="1:29" x14ac:dyDescent="0.3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</row>
    <row r="41" spans="1:29" x14ac:dyDescent="0.3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</row>
    <row r="42" spans="1:29" x14ac:dyDescent="0.3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</row>
    <row r="43" spans="1:29" x14ac:dyDescent="0.3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</row>
    <row r="44" spans="1:29" x14ac:dyDescent="0.3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</row>
    <row r="45" spans="1:29" x14ac:dyDescent="0.3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</row>
    <row r="46" spans="1:29" x14ac:dyDescent="0.3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</row>
    <row r="47" spans="1:29" x14ac:dyDescent="0.3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</row>
    <row r="48" spans="1:29" x14ac:dyDescent="0.3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</row>
    <row r="49" spans="1:29" x14ac:dyDescent="0.3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</row>
    <row r="50" spans="1:29" x14ac:dyDescent="0.3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</row>
  </sheetData>
  <sheetProtection algorithmName="SHA-512" hashValue="vwePwQkJcKk3Dc98FEvRKHDT9LDt7722rWMSIe1h4So3DnoOMCTVtadSehHrL+JKB8yACkpCARJ834t4lQ0+uQ==" saltValue="8mUmphmnkZAtphlYfRpSdQ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E1DB4-93A4-489B-B159-92305F00ADE1}">
  <sheetPr codeName="Hoja2">
    <tabColor rgb="FF000080"/>
  </sheetPr>
  <dimension ref="B2:M13"/>
  <sheetViews>
    <sheetView workbookViewId="0"/>
  </sheetViews>
  <sheetFormatPr baseColWidth="10" defaultRowHeight="14.4" x14ac:dyDescent="0.3"/>
  <cols>
    <col min="1" max="1" width="3.77734375" style="1" customWidth="1"/>
    <col min="2" max="2" width="22.77734375" style="1" customWidth="1"/>
    <col min="3" max="5" width="14.77734375" style="1" customWidth="1"/>
    <col min="6" max="6" width="4.77734375" style="1" customWidth="1"/>
    <col min="7" max="7" width="22.77734375" style="1" customWidth="1"/>
    <col min="8" max="10" width="14.77734375" style="1" customWidth="1"/>
    <col min="11" max="11" width="4.77734375" style="1" customWidth="1"/>
    <col min="12" max="12" width="23.77734375" style="1" customWidth="1"/>
    <col min="13" max="13" width="18.77734375" style="1" customWidth="1"/>
    <col min="14" max="16384" width="11.5546875" style="1"/>
  </cols>
  <sheetData>
    <row r="2" spans="2:13" ht="36" customHeight="1" x14ac:dyDescent="0.35">
      <c r="B2" s="27" t="s">
        <v>131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</row>
    <row r="3" spans="2:13" ht="18" customHeight="1" x14ac:dyDescent="0.3">
      <c r="B3" s="28" t="s">
        <v>132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</row>
    <row r="5" spans="2:13" ht="24" customHeight="1" x14ac:dyDescent="0.3">
      <c r="B5" s="29" t="s">
        <v>133</v>
      </c>
      <c r="C5" s="29"/>
      <c r="D5" s="29"/>
      <c r="E5" s="29"/>
      <c r="G5" s="34" t="s">
        <v>142</v>
      </c>
      <c r="H5" s="34"/>
      <c r="I5" s="34"/>
      <c r="J5" s="34"/>
      <c r="L5" s="33" t="s">
        <v>152</v>
      </c>
      <c r="M5" s="33"/>
    </row>
    <row r="6" spans="2:13" x14ac:dyDescent="0.3">
      <c r="B6" s="14" t="s">
        <v>134</v>
      </c>
      <c r="C6" s="30" t="s">
        <v>135</v>
      </c>
      <c r="D6" s="30"/>
      <c r="E6" s="30"/>
      <c r="G6" s="14" t="s">
        <v>143</v>
      </c>
      <c r="H6" s="35">
        <f t="shared" ref="H6" ca="1" si="0">TODAY()</f>
        <v>46278</v>
      </c>
      <c r="I6" s="35"/>
      <c r="J6" s="35"/>
      <c r="L6" s="15" t="s">
        <v>153</v>
      </c>
      <c r="M6" s="16">
        <f>SUM(Ventas!L:L)</f>
        <v>23945.900000000005</v>
      </c>
    </row>
    <row r="7" spans="2:13" x14ac:dyDescent="0.3">
      <c r="B7" s="14" t="s">
        <v>136</v>
      </c>
      <c r="C7" s="30" t="s">
        <v>137</v>
      </c>
      <c r="D7" s="30"/>
      <c r="E7" s="30"/>
      <c r="G7" s="14" t="s">
        <v>144</v>
      </c>
      <c r="H7" s="30" t="s">
        <v>7</v>
      </c>
      <c r="I7" s="30"/>
      <c r="J7" s="30"/>
      <c r="L7" s="15" t="s">
        <v>154</v>
      </c>
      <c r="M7" s="17">
        <f>SUM(Ventas!I:I)</f>
        <v>19790</v>
      </c>
    </row>
    <row r="8" spans="2:13" x14ac:dyDescent="0.3">
      <c r="B8" s="14" t="s">
        <v>138</v>
      </c>
      <c r="C8" s="30">
        <v>915554433</v>
      </c>
      <c r="D8" s="30"/>
      <c r="E8" s="30"/>
      <c r="G8" s="14" t="s">
        <v>145</v>
      </c>
      <c r="H8" s="30" t="s">
        <v>146</v>
      </c>
      <c r="I8" s="30"/>
      <c r="J8" s="30"/>
      <c r="L8" s="15" t="s">
        <v>155</v>
      </c>
      <c r="M8" s="17">
        <f>SUM(Ventas!K:K)</f>
        <v>4155.8999999999996</v>
      </c>
    </row>
    <row r="9" spans="2:13" x14ac:dyDescent="0.3">
      <c r="B9" s="14" t="s">
        <v>139</v>
      </c>
      <c r="C9" s="30" t="s">
        <v>140</v>
      </c>
      <c r="D9" s="30"/>
      <c r="E9" s="30"/>
      <c r="G9" s="14" t="s">
        <v>147</v>
      </c>
      <c r="H9" s="30" t="s">
        <v>64</v>
      </c>
      <c r="I9" s="30"/>
      <c r="J9" s="30"/>
      <c r="L9" s="15" t="s">
        <v>156</v>
      </c>
      <c r="M9" s="18">
        <f>COUNTA(Ventas!A:A)-1</f>
        <v>16</v>
      </c>
    </row>
    <row r="10" spans="2:13" x14ac:dyDescent="0.3">
      <c r="B10" s="14" t="s">
        <v>141</v>
      </c>
      <c r="C10" s="30" t="s">
        <v>11</v>
      </c>
      <c r="D10" s="30"/>
      <c r="E10" s="30"/>
      <c r="G10" s="14" t="s">
        <v>148</v>
      </c>
      <c r="H10" s="36">
        <v>1</v>
      </c>
      <c r="I10" s="36"/>
      <c r="J10" s="36"/>
      <c r="L10" s="15" t="s">
        <v>157</v>
      </c>
      <c r="M10" s="18">
        <f>COUNTA(Clientes!A:A)-1</f>
        <v>8</v>
      </c>
    </row>
    <row r="11" spans="2:13" x14ac:dyDescent="0.3">
      <c r="G11" s="14" t="s">
        <v>149</v>
      </c>
      <c r="H11" s="31">
        <v>2450</v>
      </c>
      <c r="I11" s="31"/>
      <c r="J11" s="31"/>
      <c r="L11" s="15" t="s">
        <v>158</v>
      </c>
      <c r="M11" s="19">
        <f>IF(M9&gt;0, M6/M9, 0)</f>
        <v>1496.6187500000003</v>
      </c>
    </row>
    <row r="12" spans="2:13" x14ac:dyDescent="0.3">
      <c r="G12" s="14" t="s">
        <v>150</v>
      </c>
      <c r="H12" s="32">
        <v>0.21</v>
      </c>
      <c r="I12" s="32"/>
      <c r="J12" s="32"/>
    </row>
    <row r="13" spans="2:13" x14ac:dyDescent="0.3">
      <c r="G13" s="14" t="s">
        <v>151</v>
      </c>
      <c r="H13" s="30" t="s">
        <v>65</v>
      </c>
      <c r="I13" s="30"/>
      <c r="J13" s="30"/>
    </row>
  </sheetData>
  <sheetProtection formatCells="0" formatColumns="0" formatRows="0" insertColumns="0" insertRows="0" insertHyperlinks="0" deleteColumns="0" deleteRows="0" sort="0" autoFilter="0" pivotTables="0"/>
  <mergeCells count="18">
    <mergeCell ref="H11:J11"/>
    <mergeCell ref="H12:J12"/>
    <mergeCell ref="H13:J13"/>
    <mergeCell ref="L5:M5"/>
    <mergeCell ref="C9:E9"/>
    <mergeCell ref="C10:E10"/>
    <mergeCell ref="G5:J5"/>
    <mergeCell ref="H6:J6"/>
    <mergeCell ref="H7:J7"/>
    <mergeCell ref="H8:J8"/>
    <mergeCell ref="H9:J9"/>
    <mergeCell ref="H10:J10"/>
    <mergeCell ref="C8:E8"/>
    <mergeCell ref="B2:M2"/>
    <mergeCell ref="B3:M3"/>
    <mergeCell ref="B5:E5"/>
    <mergeCell ref="C6:E6"/>
    <mergeCell ref="C7:E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3F2F8-1CFE-4842-AE4D-59DB98769D31}">
  <sheetPr codeName="Hoja3">
    <tabColor rgb="FF004080"/>
  </sheetPr>
  <dimension ref="A1:G9"/>
  <sheetViews>
    <sheetView workbookViewId="0"/>
  </sheetViews>
  <sheetFormatPr baseColWidth="10" defaultRowHeight="14.4" x14ac:dyDescent="0.3"/>
  <cols>
    <col min="1" max="1" width="11.5546875" style="1"/>
    <col min="2" max="2" width="10.21875" style="1" bestFit="1" customWidth="1"/>
    <col min="3" max="3" width="34.109375" style="1" bestFit="1" customWidth="1"/>
    <col min="4" max="4" width="11.109375" style="1" bestFit="1" customWidth="1"/>
    <col min="5" max="5" width="23.21875" style="1" bestFit="1" customWidth="1"/>
    <col min="6" max="6" width="9.6640625" style="1" bestFit="1" customWidth="1"/>
    <col min="7" max="7" width="13" style="1" bestFit="1" customWidth="1"/>
    <col min="8" max="16384" width="11.5546875" style="1"/>
  </cols>
  <sheetData>
    <row r="1" spans="1:7" ht="16.8" x14ac:dyDescent="0.4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0" t="s">
        <v>5</v>
      </c>
      <c r="G1" s="20" t="s">
        <v>6</v>
      </c>
    </row>
    <row r="2" spans="1:7" ht="15" x14ac:dyDescent="0.35">
      <c r="A2" s="2" t="s">
        <v>7</v>
      </c>
      <c r="B2" s="2" t="s">
        <v>8</v>
      </c>
      <c r="C2" s="3" t="s">
        <v>9</v>
      </c>
      <c r="D2" s="2">
        <v>912345678</v>
      </c>
      <c r="E2" s="3" t="s">
        <v>10</v>
      </c>
      <c r="F2" s="3" t="s">
        <v>11</v>
      </c>
      <c r="G2" s="4">
        <v>46296</v>
      </c>
    </row>
    <row r="3" spans="1:7" ht="15" x14ac:dyDescent="0.35">
      <c r="A3" s="2" t="s">
        <v>12</v>
      </c>
      <c r="B3" s="2" t="s">
        <v>13</v>
      </c>
      <c r="C3" s="3" t="s">
        <v>14</v>
      </c>
      <c r="D3" s="2">
        <v>942112233</v>
      </c>
      <c r="E3" s="3" t="s">
        <v>15</v>
      </c>
      <c r="F3" s="3" t="s">
        <v>16</v>
      </c>
      <c r="G3" s="2" t="s">
        <v>17</v>
      </c>
    </row>
    <row r="4" spans="1:7" ht="15" x14ac:dyDescent="0.35">
      <c r="A4" s="2" t="s">
        <v>18</v>
      </c>
      <c r="B4" s="2" t="s">
        <v>19</v>
      </c>
      <c r="C4" s="3" t="s">
        <v>20</v>
      </c>
      <c r="D4" s="2">
        <v>954987654</v>
      </c>
      <c r="E4" s="3" t="s">
        <v>21</v>
      </c>
      <c r="F4" s="3" t="s">
        <v>22</v>
      </c>
      <c r="G4" s="4">
        <v>46055</v>
      </c>
    </row>
    <row r="5" spans="1:7" ht="15" x14ac:dyDescent="0.35">
      <c r="A5" s="2" t="s">
        <v>23</v>
      </c>
      <c r="B5" s="2" t="s">
        <v>24</v>
      </c>
      <c r="C5" s="3" t="s">
        <v>25</v>
      </c>
      <c r="D5" s="2">
        <v>963112244</v>
      </c>
      <c r="E5" s="3" t="s">
        <v>26</v>
      </c>
      <c r="F5" s="3" t="s">
        <v>27</v>
      </c>
      <c r="G5" s="4">
        <v>46358</v>
      </c>
    </row>
    <row r="6" spans="1:7" ht="15" x14ac:dyDescent="0.35">
      <c r="A6" s="2" t="s">
        <v>28</v>
      </c>
      <c r="B6" s="2" t="s">
        <v>29</v>
      </c>
      <c r="C6" s="3" t="s">
        <v>30</v>
      </c>
      <c r="D6" s="2">
        <v>944556677</v>
      </c>
      <c r="E6" s="3" t="s">
        <v>31</v>
      </c>
      <c r="F6" s="3" t="s">
        <v>32</v>
      </c>
      <c r="G6" s="2" t="s">
        <v>33</v>
      </c>
    </row>
    <row r="7" spans="1:7" ht="15" x14ac:dyDescent="0.35">
      <c r="A7" s="2" t="s">
        <v>34</v>
      </c>
      <c r="B7" s="2" t="s">
        <v>35</v>
      </c>
      <c r="C7" s="3" t="s">
        <v>36</v>
      </c>
      <c r="D7" s="2">
        <v>976223344</v>
      </c>
      <c r="E7" s="3" t="s">
        <v>37</v>
      </c>
      <c r="F7" s="3" t="s">
        <v>38</v>
      </c>
      <c r="G7" s="2" t="s">
        <v>39</v>
      </c>
    </row>
    <row r="8" spans="1:7" ht="15" x14ac:dyDescent="0.35">
      <c r="A8" s="2" t="s">
        <v>40</v>
      </c>
      <c r="B8" s="2" t="s">
        <v>41</v>
      </c>
      <c r="C8" s="3" t="s">
        <v>42</v>
      </c>
      <c r="D8" s="2">
        <v>986445566</v>
      </c>
      <c r="E8" s="3" t="s">
        <v>43</v>
      </c>
      <c r="F8" s="3" t="s">
        <v>44</v>
      </c>
      <c r="G8" s="4">
        <v>46025</v>
      </c>
    </row>
    <row r="9" spans="1:7" ht="15" x14ac:dyDescent="0.35">
      <c r="A9" s="2" t="s">
        <v>45</v>
      </c>
      <c r="B9" s="2" t="s">
        <v>46</v>
      </c>
      <c r="C9" s="3" t="s">
        <v>47</v>
      </c>
      <c r="D9" s="2">
        <v>922334455</v>
      </c>
      <c r="E9" s="3" t="s">
        <v>48</v>
      </c>
      <c r="F9" s="3" t="s">
        <v>49</v>
      </c>
      <c r="G9" s="4">
        <v>46145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7D868-75B2-4DD2-B737-1F07D8B3FA59}">
  <sheetPr codeName="Hoja4">
    <tabColor rgb="FF008000"/>
  </sheetPr>
  <dimension ref="A1:M17"/>
  <sheetViews>
    <sheetView workbookViewId="0"/>
  </sheetViews>
  <sheetFormatPr baseColWidth="10" defaultRowHeight="14.4" x14ac:dyDescent="0.3"/>
  <cols>
    <col min="1" max="1" width="14.77734375" style="1" bestFit="1" customWidth="1"/>
    <col min="2" max="2" width="11.77734375" style="9" bestFit="1" customWidth="1"/>
    <col min="3" max="3" width="16" style="1" bestFit="1" customWidth="1"/>
    <col min="4" max="4" width="34.109375" style="1" bestFit="1" customWidth="1"/>
    <col min="5" max="5" width="33" style="1" bestFit="1" customWidth="1"/>
    <col min="6" max="6" width="16.88671875" style="1" bestFit="1" customWidth="1"/>
    <col min="7" max="7" width="15.88671875" style="10" bestFit="1" customWidth="1"/>
    <col min="8" max="8" width="18.5546875" style="11" bestFit="1" customWidth="1"/>
    <col min="9" max="9" width="15.77734375" style="11" bestFit="1" customWidth="1"/>
    <col min="10" max="10" width="11.21875" style="12" bestFit="1" customWidth="1"/>
    <col min="11" max="11" width="16.33203125" style="11" bestFit="1" customWidth="1"/>
    <col min="12" max="12" width="19.109375" style="11" bestFit="1" customWidth="1"/>
    <col min="13" max="13" width="18.88671875" style="1" bestFit="1" customWidth="1"/>
    <col min="14" max="16384" width="11.5546875" style="1"/>
  </cols>
  <sheetData>
    <row r="1" spans="1:13" ht="16.8" x14ac:dyDescent="0.4">
      <c r="A1" s="21" t="s">
        <v>50</v>
      </c>
      <c r="B1" s="22" t="s">
        <v>51</v>
      </c>
      <c r="C1" s="21" t="s">
        <v>0</v>
      </c>
      <c r="D1" s="21" t="s">
        <v>52</v>
      </c>
      <c r="E1" s="21" t="s">
        <v>53</v>
      </c>
      <c r="F1" s="21" t="s">
        <v>54</v>
      </c>
      <c r="G1" s="23" t="s">
        <v>55</v>
      </c>
      <c r="H1" s="24" t="s">
        <v>56</v>
      </c>
      <c r="I1" s="24" t="s">
        <v>57</v>
      </c>
      <c r="J1" s="25" t="s">
        <v>58</v>
      </c>
      <c r="K1" s="24" t="s">
        <v>59</v>
      </c>
      <c r="L1" s="24" t="s">
        <v>60</v>
      </c>
      <c r="M1" s="21" t="s">
        <v>61</v>
      </c>
    </row>
    <row r="2" spans="1:13" ht="15" x14ac:dyDescent="0.35">
      <c r="A2" s="3" t="s">
        <v>62</v>
      </c>
      <c r="B2" s="5" t="s">
        <v>17</v>
      </c>
      <c r="C2" s="3" t="s">
        <v>7</v>
      </c>
      <c r="D2" s="3" t="s">
        <v>9</v>
      </c>
      <c r="E2" s="3" t="s">
        <v>63</v>
      </c>
      <c r="F2" s="3" t="s">
        <v>64</v>
      </c>
      <c r="G2" s="6">
        <v>2</v>
      </c>
      <c r="H2" s="7">
        <v>1450</v>
      </c>
      <c r="I2" s="7">
        <f t="shared" ref="I2:I17" si="0">G2*H2</f>
        <v>2900</v>
      </c>
      <c r="J2" s="8">
        <v>0.21</v>
      </c>
      <c r="K2" s="7">
        <f t="shared" ref="K2:K17" si="1">I2*J2</f>
        <v>609</v>
      </c>
      <c r="L2" s="7">
        <f t="shared" ref="L2:L17" si="2">I2+K2</f>
        <v>3509</v>
      </c>
      <c r="M2" s="3" t="s">
        <v>65</v>
      </c>
    </row>
    <row r="3" spans="1:13" ht="15" x14ac:dyDescent="0.35">
      <c r="A3" s="3" t="s">
        <v>66</v>
      </c>
      <c r="B3" s="5" t="s">
        <v>67</v>
      </c>
      <c r="C3" s="3" t="s">
        <v>12</v>
      </c>
      <c r="D3" s="3" t="s">
        <v>14</v>
      </c>
      <c r="E3" s="3" t="s">
        <v>68</v>
      </c>
      <c r="F3" s="3" t="s">
        <v>69</v>
      </c>
      <c r="G3" s="6">
        <v>1</v>
      </c>
      <c r="H3" s="7">
        <v>950</v>
      </c>
      <c r="I3" s="7">
        <f t="shared" si="0"/>
        <v>950</v>
      </c>
      <c r="J3" s="8">
        <v>0.21</v>
      </c>
      <c r="K3" s="7">
        <f t="shared" si="1"/>
        <v>199.5</v>
      </c>
      <c r="L3" s="7">
        <f t="shared" si="2"/>
        <v>1149.5</v>
      </c>
      <c r="M3" s="3" t="s">
        <v>65</v>
      </c>
    </row>
    <row r="4" spans="1:13" ht="15" x14ac:dyDescent="0.35">
      <c r="A4" s="3" t="s">
        <v>70</v>
      </c>
      <c r="B4" s="5">
        <v>46144</v>
      </c>
      <c r="C4" s="3" t="s">
        <v>18</v>
      </c>
      <c r="D4" s="3" t="s">
        <v>20</v>
      </c>
      <c r="E4" s="3" t="s">
        <v>71</v>
      </c>
      <c r="F4" s="3" t="s">
        <v>72</v>
      </c>
      <c r="G4" s="6">
        <v>3</v>
      </c>
      <c r="H4" s="7">
        <v>380</v>
      </c>
      <c r="I4" s="7">
        <f t="shared" si="0"/>
        <v>1140</v>
      </c>
      <c r="J4" s="8">
        <v>0.21</v>
      </c>
      <c r="K4" s="7">
        <f t="shared" si="1"/>
        <v>239.39999999999998</v>
      </c>
      <c r="L4" s="7">
        <f t="shared" si="2"/>
        <v>1379.4</v>
      </c>
      <c r="M4" s="3" t="s">
        <v>73</v>
      </c>
    </row>
    <row r="5" spans="1:13" ht="15" x14ac:dyDescent="0.35">
      <c r="A5" s="3" t="s">
        <v>74</v>
      </c>
      <c r="B5" s="5" t="s">
        <v>75</v>
      </c>
      <c r="C5" s="3" t="s">
        <v>7</v>
      </c>
      <c r="D5" s="3" t="s">
        <v>9</v>
      </c>
      <c r="E5" s="3" t="s">
        <v>76</v>
      </c>
      <c r="F5" s="3" t="s">
        <v>77</v>
      </c>
      <c r="G5" s="6">
        <v>1</v>
      </c>
      <c r="H5" s="7">
        <v>600</v>
      </c>
      <c r="I5" s="7">
        <f t="shared" si="0"/>
        <v>600</v>
      </c>
      <c r="J5" s="8">
        <v>0.21</v>
      </c>
      <c r="K5" s="7">
        <f t="shared" si="1"/>
        <v>126</v>
      </c>
      <c r="L5" s="7">
        <f t="shared" si="2"/>
        <v>726</v>
      </c>
      <c r="M5" s="3" t="s">
        <v>65</v>
      </c>
    </row>
    <row r="6" spans="1:13" ht="15" x14ac:dyDescent="0.35">
      <c r="A6" s="3" t="s">
        <v>78</v>
      </c>
      <c r="B6" s="5" t="s">
        <v>79</v>
      </c>
      <c r="C6" s="3" t="s">
        <v>23</v>
      </c>
      <c r="D6" s="3" t="s">
        <v>25</v>
      </c>
      <c r="E6" s="3" t="s">
        <v>80</v>
      </c>
      <c r="F6" s="3" t="s">
        <v>64</v>
      </c>
      <c r="G6" s="6">
        <v>2</v>
      </c>
      <c r="H6" s="7">
        <v>890</v>
      </c>
      <c r="I6" s="7">
        <f t="shared" si="0"/>
        <v>1780</v>
      </c>
      <c r="J6" s="8">
        <v>0.21</v>
      </c>
      <c r="K6" s="7">
        <f t="shared" si="1"/>
        <v>373.8</v>
      </c>
      <c r="L6" s="7">
        <f t="shared" si="2"/>
        <v>2153.8000000000002</v>
      </c>
      <c r="M6" s="3" t="s">
        <v>65</v>
      </c>
    </row>
    <row r="7" spans="1:13" ht="15" x14ac:dyDescent="0.35">
      <c r="A7" s="3" t="s">
        <v>81</v>
      </c>
      <c r="B7" s="5" t="s">
        <v>39</v>
      </c>
      <c r="C7" s="3" t="s">
        <v>28</v>
      </c>
      <c r="D7" s="3" t="s">
        <v>30</v>
      </c>
      <c r="E7" s="3" t="s">
        <v>82</v>
      </c>
      <c r="F7" s="3" t="s">
        <v>69</v>
      </c>
      <c r="G7" s="6">
        <v>1</v>
      </c>
      <c r="H7" s="7">
        <v>1850</v>
      </c>
      <c r="I7" s="7">
        <f t="shared" si="0"/>
        <v>1850</v>
      </c>
      <c r="J7" s="8">
        <v>0.21</v>
      </c>
      <c r="K7" s="7">
        <f t="shared" si="1"/>
        <v>388.5</v>
      </c>
      <c r="L7" s="7">
        <f t="shared" si="2"/>
        <v>2238.5</v>
      </c>
      <c r="M7" s="3" t="s">
        <v>65</v>
      </c>
    </row>
    <row r="8" spans="1:13" ht="15" x14ac:dyDescent="0.35">
      <c r="A8" s="3" t="s">
        <v>83</v>
      </c>
      <c r="B8" s="5">
        <v>46056</v>
      </c>
      <c r="C8" s="3" t="s">
        <v>34</v>
      </c>
      <c r="D8" s="3" t="s">
        <v>36</v>
      </c>
      <c r="E8" s="3" t="s">
        <v>84</v>
      </c>
      <c r="F8" s="3" t="s">
        <v>72</v>
      </c>
      <c r="G8" s="6">
        <v>50</v>
      </c>
      <c r="H8" s="7">
        <v>45</v>
      </c>
      <c r="I8" s="7">
        <f t="shared" si="0"/>
        <v>2250</v>
      </c>
      <c r="J8" s="8">
        <v>0.21</v>
      </c>
      <c r="K8" s="7">
        <f t="shared" si="1"/>
        <v>472.5</v>
      </c>
      <c r="L8" s="7">
        <f t="shared" si="2"/>
        <v>2722.5</v>
      </c>
      <c r="M8" s="3" t="s">
        <v>73</v>
      </c>
    </row>
    <row r="9" spans="1:13" ht="15" x14ac:dyDescent="0.35">
      <c r="A9" s="3" t="s">
        <v>85</v>
      </c>
      <c r="B9" s="5">
        <v>46145</v>
      </c>
      <c r="C9" s="3" t="s">
        <v>40</v>
      </c>
      <c r="D9" s="3" t="s">
        <v>42</v>
      </c>
      <c r="E9" s="3" t="s">
        <v>86</v>
      </c>
      <c r="F9" s="3" t="s">
        <v>64</v>
      </c>
      <c r="G9" s="6">
        <v>4</v>
      </c>
      <c r="H9" s="7">
        <v>340</v>
      </c>
      <c r="I9" s="7">
        <f t="shared" si="0"/>
        <v>1360</v>
      </c>
      <c r="J9" s="8">
        <v>0.21</v>
      </c>
      <c r="K9" s="7">
        <f t="shared" si="1"/>
        <v>285.59999999999997</v>
      </c>
      <c r="L9" s="7">
        <f t="shared" si="2"/>
        <v>1645.6</v>
      </c>
      <c r="M9" s="3" t="s">
        <v>73</v>
      </c>
    </row>
    <row r="10" spans="1:13" ht="15" x14ac:dyDescent="0.35">
      <c r="A10" s="3" t="s">
        <v>87</v>
      </c>
      <c r="B10" s="5">
        <v>46237</v>
      </c>
      <c r="C10" s="3" t="s">
        <v>45</v>
      </c>
      <c r="D10" s="3" t="s">
        <v>47</v>
      </c>
      <c r="E10" s="3" t="s">
        <v>88</v>
      </c>
      <c r="F10" s="3" t="s">
        <v>69</v>
      </c>
      <c r="G10" s="6">
        <v>1</v>
      </c>
      <c r="H10" s="7">
        <v>1300</v>
      </c>
      <c r="I10" s="7">
        <f t="shared" si="0"/>
        <v>1300</v>
      </c>
      <c r="J10" s="8">
        <v>0.21</v>
      </c>
      <c r="K10" s="7">
        <f t="shared" si="1"/>
        <v>273</v>
      </c>
      <c r="L10" s="7">
        <f t="shared" si="2"/>
        <v>1573</v>
      </c>
      <c r="M10" s="3" t="s">
        <v>65</v>
      </c>
    </row>
    <row r="11" spans="1:13" ht="15" x14ac:dyDescent="0.35">
      <c r="A11" s="3" t="s">
        <v>89</v>
      </c>
      <c r="B11" s="5">
        <v>46359</v>
      </c>
      <c r="C11" s="3" t="s">
        <v>12</v>
      </c>
      <c r="D11" s="3" t="s">
        <v>14</v>
      </c>
      <c r="E11" s="3" t="s">
        <v>90</v>
      </c>
      <c r="F11" s="3" t="s">
        <v>77</v>
      </c>
      <c r="G11" s="6">
        <v>1</v>
      </c>
      <c r="H11" s="7">
        <v>750</v>
      </c>
      <c r="I11" s="7">
        <f t="shared" si="0"/>
        <v>750</v>
      </c>
      <c r="J11" s="8">
        <v>0.21</v>
      </c>
      <c r="K11" s="7">
        <f t="shared" si="1"/>
        <v>157.5</v>
      </c>
      <c r="L11" s="7">
        <f t="shared" si="2"/>
        <v>907.5</v>
      </c>
      <c r="M11" s="3" t="s">
        <v>91</v>
      </c>
    </row>
    <row r="12" spans="1:13" ht="15" x14ac:dyDescent="0.35">
      <c r="A12" s="3" t="s">
        <v>92</v>
      </c>
      <c r="B12" s="5" t="s">
        <v>93</v>
      </c>
      <c r="C12" s="3" t="s">
        <v>18</v>
      </c>
      <c r="D12" s="3" t="s">
        <v>20</v>
      </c>
      <c r="E12" s="3" t="s">
        <v>94</v>
      </c>
      <c r="F12" s="3" t="s">
        <v>64</v>
      </c>
      <c r="G12" s="6">
        <v>1</v>
      </c>
      <c r="H12" s="7">
        <v>920</v>
      </c>
      <c r="I12" s="7">
        <f t="shared" si="0"/>
        <v>920</v>
      </c>
      <c r="J12" s="8">
        <v>0.21</v>
      </c>
      <c r="K12" s="7">
        <f t="shared" si="1"/>
        <v>193.2</v>
      </c>
      <c r="L12" s="7">
        <f t="shared" si="2"/>
        <v>1113.2</v>
      </c>
      <c r="M12" s="3" t="s">
        <v>73</v>
      </c>
    </row>
    <row r="13" spans="1:13" ht="15" x14ac:dyDescent="0.35">
      <c r="A13" s="3" t="s">
        <v>95</v>
      </c>
      <c r="B13" s="5" t="s">
        <v>96</v>
      </c>
      <c r="C13" s="3" t="s">
        <v>23</v>
      </c>
      <c r="D13" s="3" t="s">
        <v>25</v>
      </c>
      <c r="E13" s="3" t="s">
        <v>97</v>
      </c>
      <c r="F13" s="3" t="s">
        <v>69</v>
      </c>
      <c r="G13" s="6">
        <v>1</v>
      </c>
      <c r="H13" s="7">
        <v>800</v>
      </c>
      <c r="I13" s="7">
        <f t="shared" si="0"/>
        <v>800</v>
      </c>
      <c r="J13" s="8">
        <v>0.21</v>
      </c>
      <c r="K13" s="7">
        <f t="shared" si="1"/>
        <v>168</v>
      </c>
      <c r="L13" s="7">
        <f t="shared" si="2"/>
        <v>968</v>
      </c>
      <c r="M13" s="3" t="s">
        <v>98</v>
      </c>
    </row>
    <row r="14" spans="1:13" ht="15" x14ac:dyDescent="0.35">
      <c r="A14" s="3" t="s">
        <v>99</v>
      </c>
      <c r="B14" s="5" t="s">
        <v>100</v>
      </c>
      <c r="C14" s="3" t="s">
        <v>28</v>
      </c>
      <c r="D14" s="3" t="s">
        <v>30</v>
      </c>
      <c r="E14" s="3" t="s">
        <v>101</v>
      </c>
      <c r="F14" s="3" t="s">
        <v>72</v>
      </c>
      <c r="G14" s="6">
        <v>2</v>
      </c>
      <c r="H14" s="7">
        <v>220</v>
      </c>
      <c r="I14" s="7">
        <f t="shared" si="0"/>
        <v>440</v>
      </c>
      <c r="J14" s="8">
        <v>0.21</v>
      </c>
      <c r="K14" s="7">
        <f t="shared" si="1"/>
        <v>92.399999999999991</v>
      </c>
      <c r="L14" s="7">
        <f t="shared" si="2"/>
        <v>532.4</v>
      </c>
      <c r="M14" s="3" t="s">
        <v>73</v>
      </c>
    </row>
    <row r="15" spans="1:13" ht="15" x14ac:dyDescent="0.35">
      <c r="A15" s="3" t="s">
        <v>102</v>
      </c>
      <c r="B15" s="5" t="s">
        <v>103</v>
      </c>
      <c r="C15" s="3" t="s">
        <v>34</v>
      </c>
      <c r="D15" s="3" t="s">
        <v>36</v>
      </c>
      <c r="E15" s="3" t="s">
        <v>104</v>
      </c>
      <c r="F15" s="3" t="s">
        <v>77</v>
      </c>
      <c r="G15" s="6">
        <v>1</v>
      </c>
      <c r="H15" s="7">
        <v>500</v>
      </c>
      <c r="I15" s="7">
        <f t="shared" si="0"/>
        <v>500</v>
      </c>
      <c r="J15" s="8">
        <v>0.21</v>
      </c>
      <c r="K15" s="7">
        <f t="shared" si="1"/>
        <v>105</v>
      </c>
      <c r="L15" s="7">
        <f t="shared" si="2"/>
        <v>605</v>
      </c>
      <c r="M15" s="3" t="s">
        <v>65</v>
      </c>
    </row>
    <row r="16" spans="1:13" ht="15" x14ac:dyDescent="0.35">
      <c r="A16" s="3" t="s">
        <v>105</v>
      </c>
      <c r="B16" s="5" t="s">
        <v>106</v>
      </c>
      <c r="C16" s="3" t="s">
        <v>40</v>
      </c>
      <c r="D16" s="3" t="s">
        <v>42</v>
      </c>
      <c r="E16" s="3" t="s">
        <v>107</v>
      </c>
      <c r="F16" s="3" t="s">
        <v>69</v>
      </c>
      <c r="G16" s="6">
        <v>1</v>
      </c>
      <c r="H16" s="7">
        <v>450</v>
      </c>
      <c r="I16" s="7">
        <f t="shared" si="0"/>
        <v>450</v>
      </c>
      <c r="J16" s="8">
        <v>0.21</v>
      </c>
      <c r="K16" s="7">
        <f t="shared" si="1"/>
        <v>94.5</v>
      </c>
      <c r="L16" s="7">
        <f t="shared" si="2"/>
        <v>544.5</v>
      </c>
      <c r="M16" s="3" t="s">
        <v>98</v>
      </c>
    </row>
    <row r="17" spans="1:13" ht="15" x14ac:dyDescent="0.35">
      <c r="A17" s="3" t="s">
        <v>108</v>
      </c>
      <c r="B17" s="5" t="s">
        <v>109</v>
      </c>
      <c r="C17" s="3" t="s">
        <v>45</v>
      </c>
      <c r="D17" s="3" t="s">
        <v>47</v>
      </c>
      <c r="E17" s="3" t="s">
        <v>110</v>
      </c>
      <c r="F17" s="3" t="s">
        <v>72</v>
      </c>
      <c r="G17" s="6">
        <v>10</v>
      </c>
      <c r="H17" s="7">
        <v>180</v>
      </c>
      <c r="I17" s="7">
        <f t="shared" si="0"/>
        <v>1800</v>
      </c>
      <c r="J17" s="8">
        <v>0.21</v>
      </c>
      <c r="K17" s="7">
        <f t="shared" si="1"/>
        <v>378</v>
      </c>
      <c r="L17" s="7">
        <f t="shared" si="2"/>
        <v>2178</v>
      </c>
      <c r="M17" s="3" t="s">
        <v>73</v>
      </c>
    </row>
  </sheetData>
  <sheetProtection formatCells="0" formatColumns="0" formatRows="0" insertColumns="0" insertRows="0" insertHyperlinks="0" deleteColumns="0" deleteRows="0" sort="0" autoFilter="0" pivotTables="0"/>
  <autoFilter ref="A1:M17" xr:uid="{B977D868-75B2-4DD2-B737-1F07D8B3FA59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221AE-CAF6-4FA9-8588-CE1CF3C03FC5}">
  <sheetPr codeName="Hoja5">
    <tabColor rgb="FF904411"/>
  </sheetPr>
  <dimension ref="B2:K17"/>
  <sheetViews>
    <sheetView showGridLines="0" workbookViewId="0"/>
  </sheetViews>
  <sheetFormatPr baseColWidth="10" defaultRowHeight="14.4" x14ac:dyDescent="0.3"/>
  <cols>
    <col min="1" max="1" width="11.5546875" style="1"/>
    <col min="2" max="2" width="13" style="1" bestFit="1" customWidth="1"/>
    <col min="3" max="3" width="14" style="1" bestFit="1" customWidth="1"/>
    <col min="4" max="4" width="16.77734375" style="1" bestFit="1" customWidth="1"/>
    <col min="5" max="5" width="11.5546875" style="1"/>
    <col min="6" max="6" width="13.21875" style="1" bestFit="1" customWidth="1"/>
    <col min="7" max="7" width="10.109375" style="1" bestFit="1" customWidth="1"/>
    <col min="8" max="8" width="16.77734375" style="1" bestFit="1" customWidth="1"/>
    <col min="9" max="9" width="11.5546875" style="1"/>
    <col min="10" max="10" width="21.44140625" style="1" bestFit="1" customWidth="1"/>
    <col min="11" max="11" width="16.77734375" style="1" bestFit="1" customWidth="1"/>
    <col min="12" max="16384" width="11.5546875" style="1"/>
  </cols>
  <sheetData>
    <row r="2" spans="2:11" ht="15.6" x14ac:dyDescent="0.3">
      <c r="B2" s="37" t="s">
        <v>111</v>
      </c>
      <c r="C2" s="37"/>
      <c r="D2" s="37"/>
      <c r="E2" s="37"/>
      <c r="F2" s="37"/>
      <c r="G2" s="37"/>
      <c r="H2" s="37"/>
      <c r="I2" s="37"/>
      <c r="J2" s="37"/>
      <c r="K2" s="37"/>
    </row>
    <row r="4" spans="2:11" x14ac:dyDescent="0.3">
      <c r="B4" s="26" t="s">
        <v>54</v>
      </c>
      <c r="C4" s="26" t="s">
        <v>112</v>
      </c>
      <c r="D4" s="26" t="s">
        <v>113</v>
      </c>
      <c r="F4" s="26" t="s">
        <v>61</v>
      </c>
      <c r="G4" s="26" t="s">
        <v>112</v>
      </c>
      <c r="H4" s="26" t="s">
        <v>113</v>
      </c>
      <c r="J4" s="26" t="s">
        <v>53</v>
      </c>
      <c r="K4" s="26" t="s">
        <v>113</v>
      </c>
    </row>
    <row r="5" spans="2:11" x14ac:dyDescent="0.3">
      <c r="B5" s="1" t="s">
        <v>64</v>
      </c>
      <c r="C5" s="1">
        <f>COUNTIF(Ventas!F:F, B5)</f>
        <v>4</v>
      </c>
      <c r="D5" s="11">
        <f>SUMIF(Ventas!F:F, B5, Ventas!L:L)</f>
        <v>8421.6</v>
      </c>
      <c r="F5" s="1" t="s">
        <v>65</v>
      </c>
      <c r="G5" s="1">
        <f>COUNTIF(Ventas!M:M, F5)</f>
        <v>7</v>
      </c>
      <c r="H5" s="11">
        <f>SUMIF(Ventas!M:M, F5, Ventas!L:L)</f>
        <v>11954.8</v>
      </c>
      <c r="J5" s="1" t="s">
        <v>114</v>
      </c>
      <c r="K5" s="11">
        <v>3509</v>
      </c>
    </row>
    <row r="6" spans="2:11" x14ac:dyDescent="0.3">
      <c r="B6" s="1" t="s">
        <v>69</v>
      </c>
      <c r="C6" s="1">
        <f>COUNTIF(Ventas!F:F, B6)</f>
        <v>5</v>
      </c>
      <c r="D6" s="11">
        <f>SUMIF(Ventas!F:F, B6, Ventas!L:L)</f>
        <v>6473.5</v>
      </c>
      <c r="F6" s="1" t="s">
        <v>73</v>
      </c>
      <c r="G6" s="1">
        <f>COUNTIF(Ventas!M:M, F6)</f>
        <v>6</v>
      </c>
      <c r="H6" s="11">
        <f>SUMIF(Ventas!M:M, F6, Ventas!L:L)</f>
        <v>9571.0999999999985</v>
      </c>
      <c r="J6" s="1" t="s">
        <v>115</v>
      </c>
      <c r="K6" s="11">
        <v>2722.5</v>
      </c>
    </row>
    <row r="7" spans="2:11" x14ac:dyDescent="0.3">
      <c r="B7" s="1" t="s">
        <v>72</v>
      </c>
      <c r="C7" s="1">
        <f>COUNTIF(Ventas!F:F, B7)</f>
        <v>4</v>
      </c>
      <c r="D7" s="11">
        <f>SUMIF(Ventas!F:F, B7, Ventas!L:L)</f>
        <v>6812.2999999999993</v>
      </c>
      <c r="F7" s="1" t="s">
        <v>91</v>
      </c>
      <c r="G7" s="1">
        <f>COUNTIF(Ventas!M:M, F7)</f>
        <v>1</v>
      </c>
      <c r="H7" s="11">
        <f>SUMIF(Ventas!M:M, F7, Ventas!L:L)</f>
        <v>907.5</v>
      </c>
      <c r="J7" s="1" t="s">
        <v>116</v>
      </c>
      <c r="K7" s="11">
        <v>2238.5</v>
      </c>
    </row>
    <row r="8" spans="2:11" x14ac:dyDescent="0.3">
      <c r="B8" s="1" t="s">
        <v>77</v>
      </c>
      <c r="C8" s="1">
        <f>COUNTIF(Ventas!F:F, B8)</f>
        <v>3</v>
      </c>
      <c r="D8" s="11">
        <f>SUMIF(Ventas!F:F, B8, Ventas!L:L)</f>
        <v>2238.5</v>
      </c>
      <c r="F8" s="1" t="s">
        <v>98</v>
      </c>
      <c r="G8" s="1">
        <f>COUNTIF(Ventas!M:M, F8)</f>
        <v>2</v>
      </c>
      <c r="H8" s="11">
        <f>SUMIF(Ventas!M:M, F8, Ventas!L:L)</f>
        <v>1512.5</v>
      </c>
      <c r="J8" s="1" t="s">
        <v>117</v>
      </c>
      <c r="K8" s="11">
        <v>2153.8000000000002</v>
      </c>
    </row>
    <row r="9" spans="2:11" x14ac:dyDescent="0.3">
      <c r="J9" s="1" t="s">
        <v>118</v>
      </c>
      <c r="K9" s="11">
        <v>2178</v>
      </c>
    </row>
    <row r="12" spans="2:11" x14ac:dyDescent="0.3">
      <c r="B12" s="26" t="s">
        <v>119</v>
      </c>
      <c r="C12" s="26" t="s">
        <v>120</v>
      </c>
      <c r="D12" s="26" t="s">
        <v>121</v>
      </c>
      <c r="F12" s="1" t="s">
        <v>127</v>
      </c>
      <c r="G12" s="1" t="s">
        <v>128</v>
      </c>
    </row>
    <row r="13" spans="2:11" x14ac:dyDescent="0.3">
      <c r="B13" s="1" t="s">
        <v>122</v>
      </c>
      <c r="C13" s="1">
        <v>130</v>
      </c>
      <c r="D13" s="1">
        <v>212</v>
      </c>
      <c r="F13" s="1" t="s">
        <v>129</v>
      </c>
      <c r="G13" s="1">
        <f>SUM(Ventas!I:I)</f>
        <v>19790</v>
      </c>
    </row>
    <row r="14" spans="2:11" x14ac:dyDescent="0.3">
      <c r="B14" s="1" t="s">
        <v>123</v>
      </c>
      <c r="C14" s="1">
        <v>311</v>
      </c>
      <c r="D14" s="1">
        <v>552</v>
      </c>
      <c r="F14" s="1" t="s">
        <v>130</v>
      </c>
      <c r="G14" s="1">
        <f>SUM(Ventas!K:K)</f>
        <v>4155.8999999999996</v>
      </c>
    </row>
    <row r="15" spans="2:11" x14ac:dyDescent="0.3">
      <c r="B15" s="1" t="s">
        <v>124</v>
      </c>
      <c r="C15" s="1">
        <v>344</v>
      </c>
      <c r="D15" s="1">
        <v>578</v>
      </c>
    </row>
    <row r="16" spans="2:11" x14ac:dyDescent="0.3">
      <c r="B16" s="1" t="s">
        <v>125</v>
      </c>
      <c r="C16" s="1">
        <v>367</v>
      </c>
      <c r="D16" s="1">
        <v>572</v>
      </c>
    </row>
    <row r="17" spans="2:4" x14ac:dyDescent="0.3">
      <c r="B17" s="1" t="s">
        <v>126</v>
      </c>
      <c r="C17" s="1">
        <v>135</v>
      </c>
      <c r="D17" s="1">
        <v>283</v>
      </c>
    </row>
  </sheetData>
  <sheetProtection formatCells="0" formatColumns="0" formatRows="0" insertColumns="0" insertRows="0" insertHyperlinks="0" deleteColumns="0" deleteRows="0" sort="0" autoFilter="0" pivotTables="0"/>
  <mergeCells count="1">
    <mergeCell ref="B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Dashboard</vt:lpstr>
      <vt:lpstr>Panel de Control</vt:lpstr>
      <vt:lpstr>Clientes</vt:lpstr>
      <vt:lpstr>Ventas</vt:lpstr>
      <vt:lpstr>Resumen y Totales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dcterms:created xsi:type="dcterms:W3CDTF">2026-09-13T11:32:17Z</dcterms:created>
  <dcterms:modified xsi:type="dcterms:W3CDTF">2026-09-13T14:50:02Z</dcterms:modified>
</cp:coreProperties>
</file>