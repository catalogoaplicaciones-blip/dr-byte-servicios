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AB46AB4A-0599-408F-AEB3-64A379013679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8" i="5" l="1"/>
  <c r="G7" i="5"/>
  <c r="G6" i="5"/>
  <c r="G5" i="5"/>
  <c r="C8" i="5"/>
  <c r="C7" i="5"/>
  <c r="C6" i="5"/>
  <c r="C5" i="5"/>
  <c r="H6" i="2"/>
  <c r="M10" i="2"/>
  <c r="M9" i="2"/>
  <c r="I17" i="4"/>
  <c r="K17" i="4" s="1"/>
  <c r="L17" i="4" s="1"/>
  <c r="K8" i="5" s="1"/>
  <c r="I16" i="4"/>
  <c r="I15" i="4"/>
  <c r="I14" i="4"/>
  <c r="I13" i="4"/>
  <c r="I12" i="4"/>
  <c r="I11" i="4"/>
  <c r="I10" i="4"/>
  <c r="K10" i="4" s="1"/>
  <c r="L10" i="4" s="1"/>
  <c r="I9" i="4"/>
  <c r="I8" i="4"/>
  <c r="I7" i="4"/>
  <c r="I6" i="4"/>
  <c r="I5" i="4"/>
  <c r="I4" i="4"/>
  <c r="I3" i="4"/>
  <c r="K3" i="4" s="1"/>
  <c r="L3" i="4" s="1"/>
  <c r="I2" i="4"/>
  <c r="G13" i="5" l="1"/>
  <c r="M7" i="2"/>
  <c r="K11" i="4"/>
  <c r="L11" i="4" s="1"/>
  <c r="H7" i="5" s="1"/>
  <c r="K4" i="4"/>
  <c r="L4" i="4" s="1"/>
  <c r="K12" i="4"/>
  <c r="L12" i="4" s="1"/>
  <c r="K13" i="4"/>
  <c r="L13" i="4" s="1"/>
  <c r="K6" i="4"/>
  <c r="L6" i="4" s="1"/>
  <c r="K9" i="5" s="1"/>
  <c r="K14" i="4"/>
  <c r="L14" i="4" s="1"/>
  <c r="K7" i="4"/>
  <c r="L7" i="4" s="1"/>
  <c r="K15" i="4"/>
  <c r="L15" i="4" s="1"/>
  <c r="K8" i="4"/>
  <c r="L8" i="4" s="1"/>
  <c r="K6" i="5" s="1"/>
  <c r="K16" i="4"/>
  <c r="L16" i="4" s="1"/>
  <c r="K9" i="4"/>
  <c r="L9" i="4" s="1"/>
  <c r="K2" i="4"/>
  <c r="K5" i="4"/>
  <c r="L5" i="4" s="1"/>
  <c r="D8" i="5" s="1"/>
  <c r="H8" i="5" l="1"/>
  <c r="G14" i="5"/>
  <c r="K7" i="5"/>
  <c r="D6" i="5"/>
  <c r="D17" i="5"/>
  <c r="D16" i="5"/>
  <c r="D15" i="5"/>
  <c r="D14" i="5"/>
  <c r="D13" i="5"/>
  <c r="D7" i="5"/>
  <c r="H6" i="5"/>
  <c r="L2" i="4"/>
  <c r="M8" i="2"/>
  <c r="H5" i="5" l="1"/>
  <c r="C17" i="5"/>
  <c r="C16" i="5"/>
  <c r="C15" i="5"/>
  <c r="C14" i="5"/>
  <c r="C13" i="5"/>
  <c r="K5" i="5"/>
  <c r="D5" i="5"/>
  <c r="M6" i="2"/>
  <c r="M11" i="2" s="1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<sst xmlns="http://schemas.openxmlformats.org/spreadsheetml/2006/main" count="221" uniqueCount="142">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</sst>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900"/>
          </a:pPr>
          <a:endParaRPr lang="es-E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50"/>
            </a:pPr>
            <a:endParaRPr lang="es-ES"/>
          </a:p>
        </c:txPr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txPr>
          <a:bodyPr/>
          <a:lstStyle/>
          <a:p>
            <a:pPr>
              <a:defRPr sz="800"/>
            </a:pPr>
            <a:endParaRPr lang="es-ES"/>
          </a:p>
        </c:tx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1793.2199999999998</c:v>
                </c:pt>
                <c:pt idx="1">
                  <c:v>2988.7</c:v>
                </c:pt>
                <c:pt idx="2">
                  <c:v>3347.3440000000001</c:v>
                </c:pt>
                <c:pt idx="3">
                  <c:v>2630.056</c:v>
                </c:pt>
                <c:pt idx="4">
                  <c:v>1195.48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1435.6649999999997</c:v>
                </c:pt>
                <c:pt idx="1">
                  <c:v>2392.7749999999996</c:v>
                </c:pt>
                <c:pt idx="2">
                  <c:v>2679.9079999999999</c:v>
                </c:pt>
                <c:pt idx="3">
                  <c:v>2105.6419999999998</c:v>
                </c:pt>
                <c:pt idx="4">
                  <c:v>957.1099999999999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image" Target="../media/image1.jpe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ModuloGestion.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ModuloGestion.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ModuloGestion.FiltrarPagoTodos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ModuloGestion.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ModuloGestion.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ModuloGestion.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ModuloGestion.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7</xdr:row>
      <xdr:rowOff>91440</xdr:rowOff>
    </xdr:from>
    <xdr:to>
      <xdr:col>14</xdr:col>
      <xdr:colOff>373380</xdr:colOff>
      <xdr:row>9</xdr:row>
      <xdr:rowOff>30480</xdr:rowOff>
    </xdr:to>
    <xdr:sp macro="ModuloGestion.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37160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6359" y="2212489"/>
          <a:ext cx="1879152" cy="845671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ModuloGestion.ActualizarTotales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8.422 €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6.474 €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6.812 €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2.239 €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32</xdr:row>
      <xdr:rowOff>111760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255520"/>
          <a:ext cx="2540000" cy="370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116840</xdr:rowOff>
    </xdr:from>
    <xdr:to>
      <xdr:col>5</xdr:col>
      <xdr:colOff>993140</xdr:colOff>
      <xdr:row>14</xdr:row>
      <xdr:rowOff>30480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311400"/>
          <a:ext cx="2413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55880</xdr:rowOff>
    </xdr:from>
    <xdr:to>
      <xdr:col>5</xdr:col>
      <xdr:colOff>993140</xdr:colOff>
      <xdr:row>32</xdr:row>
      <xdr:rowOff>2540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959970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2865120"/>
          <a:ext cx="107427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(47%)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7</xdr:col>
      <xdr:colOff>1097430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373120"/>
          <a:ext cx="121173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Autonomos (53%)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1102360</xdr:colOff>
      <xdr:row>0</xdr:row>
      <xdr:rowOff>132080</xdr:rowOff>
    </xdr:from>
    <xdr:to>
      <xdr:col>9</xdr:col>
      <xdr:colOff>177800</xdr:colOff>
      <xdr:row>2</xdr:row>
      <xdr:rowOff>20320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6550660" y="13208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chemeClr val="bg1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1054100</xdr:colOff>
      <xdr:row>2</xdr:row>
      <xdr:rowOff>25400</xdr:rowOff>
    </xdr:from>
    <xdr:to>
      <xdr:col>8</xdr:col>
      <xdr:colOff>375920</xdr:colOff>
      <xdr:row>3</xdr:row>
      <xdr:rowOff>71120</xdr:rowOff>
    </xdr:to>
    <xdr:sp macro="ModuloGestion.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502400" y="39116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426720</xdr:colOff>
      <xdr:row>2</xdr:row>
      <xdr:rowOff>25400</xdr:rowOff>
    </xdr:from>
    <xdr:to>
      <xdr:col>8</xdr:col>
      <xdr:colOff>1036320</xdr:colOff>
      <xdr:row>3</xdr:row>
      <xdr:rowOff>71120</xdr:rowOff>
    </xdr:to>
    <xdr:sp macro="ModuloGestion.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162800" y="39116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1087120</xdr:colOff>
      <xdr:row>2</xdr:row>
      <xdr:rowOff>25400</xdr:rowOff>
    </xdr:from>
    <xdr:to>
      <xdr:col>10</xdr:col>
      <xdr:colOff>81280</xdr:colOff>
      <xdr:row>3</xdr:row>
      <xdr:rowOff>71120</xdr:rowOff>
    </xdr:to>
    <xdr:sp macro="ModuloGestion.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823200" y="39116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91440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8768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chemeClr val="bg1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172720</xdr:rowOff>
    </xdr:from>
    <xdr:to>
      <xdr:col>5</xdr:col>
      <xdr:colOff>1135380</xdr:colOff>
      <xdr:row>8</xdr:row>
      <xdr:rowOff>55880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8712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600" b="1">
              <a:solidFill>
                <a:srgbClr val="1F2120"/>
              </a:solidFill>
              <a:latin typeface="Arial Black" panose="020B0A04020102020204" pitchFamily="34" charset="0"/>
            </a:rPr>
            <a:t>23.946 €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600" b="1">
              <a:solidFill>
                <a:srgbClr val="1F2120"/>
              </a:solidFill>
              <a:latin typeface="Arial Black" panose="020B0A04020102020204" pitchFamily="34" charset="0"/>
            </a:rPr>
            <a:t>19.790 €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10</xdr:col>
      <xdr:colOff>586740</xdr:colOff>
      <xdr:row>6</xdr:row>
      <xdr:rowOff>12700</xdr:rowOff>
    </xdr:from>
    <xdr:to>
      <xdr:col>11</xdr:col>
      <xdr:colOff>632460</xdr:colOff>
      <xdr:row>8</xdr:row>
      <xdr:rowOff>78740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1099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600" b="1">
              <a:solidFill>
                <a:srgbClr val="1F2120"/>
              </a:solidFill>
              <a:latin typeface="Arial Black" panose="020B0A04020102020204" pitchFamily="34" charset="0"/>
            </a:rPr>
            <a:t>4.156 €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469900</xdr:colOff>
      <xdr:row>2</xdr:row>
      <xdr:rowOff>25400</xdr:rowOff>
    </xdr:from>
    <xdr:to>
      <xdr:col>7</xdr:col>
      <xdr:colOff>1003300</xdr:colOff>
      <xdr:row>3</xdr:row>
      <xdr:rowOff>71120</xdr:rowOff>
    </xdr:to>
    <xdr:sp macro="ModuloGestion.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918200" y="39116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  <xdr:twoCellAnchor>
    <xdr:from>
      <xdr:col>11</xdr:col>
      <xdr:colOff>1254760</xdr:colOff>
      <xdr:row>5</xdr:row>
      <xdr:rowOff>127000</xdr:rowOff>
    </xdr:from>
    <xdr:to>
      <xdr:col>14</xdr:col>
      <xdr:colOff>353060</xdr:colOff>
      <xdr:row>7</xdr:row>
      <xdr:rowOff>15240</xdr:rowOff>
    </xdr:to>
    <xdr:sp macro="ModuloGestion.FiltrarPagoTodos" textlink="">
      <xdr:nvSpPr>
        <xdr:cNvPr id="69" name="Btn_Filtro_Pago_Todos">
          <a:extLst>
            <a:ext uri="{FF2B5EF4-FFF2-40B4-BE49-F238E27FC236}">
              <a16:creationId xmlns:a16="http://schemas.microsoft.com/office/drawing/2014/main" id="{7B9918FE-C07A-F6E8-FB07-FEC26A657186}"/>
            </a:ext>
          </a:extLst>
        </xdr:cNvPr>
        <xdr:cNvSpPr/>
      </xdr:nvSpPr>
      <xdr:spPr>
        <a:xfrm>
          <a:off x="10894060" y="1041400"/>
          <a:ext cx="1727200" cy="254000"/>
        </a:xfrm>
        <a:prstGeom prst="roundRect">
          <a:avLst/>
        </a:prstGeom>
        <a:solidFill>
          <a:srgbClr val="0D1B2A"/>
        </a:solidFill>
        <a:ln w="12700">
          <a:solidFill>
            <a:srgbClr val="0066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850" b="1">
              <a:solidFill>
                <a:srgbClr val="FFFFFF"/>
              </a:solidFill>
              <a:latin typeface="Segoe UI" panose="020B0502040204020203" pitchFamily="34" charset="0"/>
            </a:rPr>
            <a:t>MOSTRAR TODOS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ModuloGestion.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ModuloGestion.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ModuloGestion.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="85" zoomScaleNormal="85" workbookViewId="0">
      <selection activeCell="P11" sqref="P11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autoFilter ref="A1:M17" xr:uid="{595F7FB2-3BD5-4039-9341-78A77038BFC9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f>SUMIFS(Ventas!L:L, Ventas!M:M, "Transferencia") * 0.15</f>
        <v>1793.2199999999998</v>
      </c>
      <c r="D13">
        <f>SUMIFS(Ventas!L:L, Ventas!M:M, "Tarjeta") * 0.15</f>
        <v>1435.6649999999997</v>
      </c>
      <c r="F13" t="s">
        <v>115</v>
      </c>
      <c r="G13">
        <f>SUBTOTAL(109, Ventas!I:I)</f>
        <v>19790</v>
      </c>
    </row>
    <row r="14" spans="2:11" x14ac:dyDescent="0.3">
      <c r="B14" t="s">
        <v>109</v>
      </c>
      <c r="C14">
        <f>SUMIFS(Ventas!L:L, Ventas!M:M, "Transferencia") * 0.25</f>
        <v>2988.7</v>
      </c>
      <c r="D14">
        <f>SUMIFS(Ventas!L:L, Ventas!M:M, "Tarjeta") * 0.25</f>
        <v>2392.7749999999996</v>
      </c>
      <c r="F14" t="s">
        <v>116</v>
      </c>
      <c r="G14">
        <f>SUBTOTAL(109, Ventas!K:K)</f>
        <v>4155.8999999999996</v>
      </c>
    </row>
    <row r="15" spans="2:11" x14ac:dyDescent="0.3">
      <c r="B15" t="s">
        <v>110</v>
      </c>
      <c r="C15">
        <f>SUMIFS(Ventas!L:L, Ventas!M:M, "Transferencia") * 0.28</f>
        <v>3347.3440000000001</v>
      </c>
      <c r="D15">
        <f>SUMIFS(Ventas!L:L, Ventas!M:M, "Tarjeta") * 0.28</f>
        <v>2679.9079999999999</v>
      </c>
    </row>
    <row r="16" spans="2:11" x14ac:dyDescent="0.3">
      <c r="B16" t="s">
        <v>111</v>
      </c>
      <c r="C16">
        <f>SUMIFS(Ventas!L:L, Ventas!M:M, "Transferencia") * 0.22</f>
        <v>2630.056</v>
      </c>
      <c r="D16">
        <f>SUMIFS(Ventas!L:L, Ventas!M:M, "Tarjeta") * 0.22</f>
        <v>2105.6419999999998</v>
      </c>
    </row>
    <row r="17" spans="2:4" x14ac:dyDescent="0.3">
      <c r="B17" t="s">
        <v>112</v>
      </c>
      <c r="C17">
        <f>SUMIFS(Ventas!L:L, Ventas!M:M, "Transferencia") * 0.1</f>
        <v>1195.48</v>
      </c>
      <c r="D17">
        <f>SUMIFS(Ventas!L:L, Ventas!M:M, "Tarjeta") * 0.1</f>
        <v>957.1099999999999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2026-09-13T17:39:26Z</cp:lastPrinted>
  <dcterms:created xsi:type="dcterms:W3CDTF">2026-09-13T15:08:24Z</dcterms:created>
  <dcterms:modified xsi:type="dcterms:W3CDTF">2026-09-13T18:24:10Z</dcterms:modified>
</cp:coreProperties>
</file>