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A880A44E-A143-4765-ABDC-B0175FA09545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<sst xmlns="http://schemas.openxmlformats.org/spreadsheetml/2006/main" count="236" uniqueCount="159">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</sst>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/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/>
  </xdr:twoCellAnchor>
  <xdr:twoCellAnchor>
    <xdr:from>
      <xdr:col>4</xdr:col>
      <xdr:colOff>782320</xdr:colOff>
      <xdr:row>3</xdr:row>
      <xdr:rowOff>60960</xdr:rowOff>
    </xdr:from>
    <xdr:to>
      <xdr:col>8</xdr:col>
      <xdr:colOff>1036320</xdr:colOff>
      <xdr:row>4</xdr:row>
      <xdr:rowOff>106680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D147AFEB-6D96-1DBD-86CF-A780C8684A57}"/>
            </a:ext>
          </a:extLst>
        </xdr:cNvPr>
        <xdr:cNvSpPr txBox="1"/>
      </xdr:nvSpPr>
      <xdr:spPr>
        <a:xfrm>
          <a:off x="3327400" y="609600"/>
          <a:ext cx="444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271780</xdr:colOff>
      <xdr:row>1</xdr:row>
      <xdr:rowOff>45720</xdr:rowOff>
    </xdr:from>
    <xdr:to>
      <xdr:col>4</xdr:col>
      <xdr:colOff>706120</xdr:colOff>
      <xdr:row>5</xdr:row>
      <xdr:rowOff>76200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228600"/>
          <a:ext cx="762000" cy="7620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782320</xdr:colOff>
      <xdr:row>4</xdr:row>
      <xdr:rowOff>132080</xdr:rowOff>
    </xdr:from>
    <xdr:to>
      <xdr:col>8</xdr:col>
      <xdr:colOff>655320</xdr:colOff>
      <xdr:row>5</xdr:row>
      <xdr:rowOff>177800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3327400" y="863600"/>
          <a:ext cx="4064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customWidth="1"/>
    <col min="2" max="3" width="14.77734375" customWidth="1"/>
    <col min="4" max="4" width="4.77734375" customWidth="1"/>
    <col min="5" max="6" width="18.77734375" customWidth="1"/>
    <col min="7" max="7" width="4.77734375" customWidth="1"/>
    <col min="8" max="9" width="18.77734375" customWidth="1"/>
    <col min="10" max="10" width="4.77734375" customWidth="1"/>
    <col min="11" max="12" width="18.77734375" customWidth="1"/>
    <col min="13" max="13" width="4.77734375" customWidth="1"/>
    <col min="14" max="15" width="14.77734375" customWidth="1"/>
  </cols>
  <sheetData>
    <row r="1" spans="1:2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</sheetData>
  <sheetProtection algorithmName="SHA-512" hashValue="oFmFb9LvojiEDE1HGyeMTdLz5ej2A7jmuCUXpqC/rQ8bElJbxW947L4PVAX53Kr5uptPYes/1jaNqqskmB1vPQ==" saltValue="0iNOqtVxXbacvkRF+zFt7A==" spinCount="100000" objects="1" sort="0" autoFilter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3" t="s">
        <v>131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</row>
    <row r="3" spans="2:13" ht="18" customHeight="1" x14ac:dyDescent="0.3">
      <c r="B3" s="34" t="s">
        <v>132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5" spans="2:13" ht="24" customHeight="1" x14ac:dyDescent="0.3">
      <c r="B5" s="35" t="s">
        <v>133</v>
      </c>
      <c r="C5" s="35"/>
      <c r="D5" s="35"/>
      <c r="E5" s="35"/>
      <c r="G5" s="30" t="s">
        <v>142</v>
      </c>
      <c r="H5" s="30"/>
      <c r="I5" s="30"/>
      <c r="J5" s="30"/>
      <c r="L5" s="29" t="s">
        <v>152</v>
      </c>
      <c r="M5" s="29"/>
    </row>
    <row r="6" spans="2:13" x14ac:dyDescent="0.3">
      <c r="B6" s="19" t="s">
        <v>134</v>
      </c>
      <c r="C6" s="28" t="s">
        <v>135</v>
      </c>
      <c r="D6" s="28"/>
      <c r="E6" s="28"/>
      <c r="G6" s="19" t="s">
        <v>143</v>
      </c>
      <c r="H6" s="31">
        <f t="shared" ref="H6" ca="1" si="0">TODAY()</f>
        <v>46278</v>
      </c>
      <c r="I6" s="31"/>
      <c r="J6" s="31"/>
      <c r="L6" s="20" t="s">
        <v>153</v>
      </c>
      <c r="M6" s="21">
        <f>SUM(Ventas!L:L)</f>
        <v>23945.900000000005</v>
      </c>
    </row>
    <row r="7" spans="2:13" x14ac:dyDescent="0.3">
      <c r="B7" s="19" t="s">
        <v>136</v>
      </c>
      <c r="C7" s="28" t="s">
        <v>137</v>
      </c>
      <c r="D7" s="28"/>
      <c r="E7" s="28"/>
      <c r="G7" s="19" t="s">
        <v>144</v>
      </c>
      <c r="H7" s="28" t="s">
        <v>7</v>
      </c>
      <c r="I7" s="28"/>
      <c r="J7" s="28"/>
      <c r="L7" s="20" t="s">
        <v>154</v>
      </c>
      <c r="M7" s="22">
        <f>SUM(Ventas!I:I)</f>
        <v>19790</v>
      </c>
    </row>
    <row r="8" spans="2:13" x14ac:dyDescent="0.3">
      <c r="B8" s="19" t="s">
        <v>138</v>
      </c>
      <c r="C8" s="28">
        <v>915554433</v>
      </c>
      <c r="D8" s="28"/>
      <c r="E8" s="28"/>
      <c r="G8" s="19" t="s">
        <v>145</v>
      </c>
      <c r="H8" s="28" t="s">
        <v>146</v>
      </c>
      <c r="I8" s="28"/>
      <c r="J8" s="28"/>
      <c r="L8" s="20" t="s">
        <v>155</v>
      </c>
      <c r="M8" s="22">
        <f>SUM(Ventas!K:K)</f>
        <v>4155.8999999999996</v>
      </c>
    </row>
    <row r="9" spans="2:13" x14ac:dyDescent="0.3">
      <c r="B9" s="19" t="s">
        <v>139</v>
      </c>
      <c r="C9" s="28" t="s">
        <v>140</v>
      </c>
      <c r="D9" s="28"/>
      <c r="E9" s="28"/>
      <c r="G9" s="19" t="s">
        <v>147</v>
      </c>
      <c r="H9" s="28" t="s">
        <v>64</v>
      </c>
      <c r="I9" s="28"/>
      <c r="J9" s="28"/>
      <c r="L9" s="20" t="s">
        <v>156</v>
      </c>
      <c r="M9" s="23">
        <f>COUNTA(Ventas!A:A)-1</f>
        <v>16</v>
      </c>
    </row>
    <row r="10" spans="2:13" x14ac:dyDescent="0.3">
      <c r="B10" s="19" t="s">
        <v>141</v>
      </c>
      <c r="C10" s="28" t="s">
        <v>11</v>
      </c>
      <c r="D10" s="28"/>
      <c r="E10" s="28"/>
      <c r="G10" s="19" t="s">
        <v>148</v>
      </c>
      <c r="H10" s="32">
        <v>1</v>
      </c>
      <c r="I10" s="32"/>
      <c r="J10" s="32"/>
      <c r="L10" s="20" t="s">
        <v>157</v>
      </c>
      <c r="M10" s="23">
        <f>COUNTA(Clientes!A:A)-1</f>
        <v>8</v>
      </c>
    </row>
    <row r="11" spans="2:13" x14ac:dyDescent="0.3">
      <c r="G11" s="19" t="s">
        <v>149</v>
      </c>
      <c r="H11" s="26">
        <v>2450</v>
      </c>
      <c r="I11" s="26"/>
      <c r="J11" s="26"/>
      <c r="L11" s="20" t="s">
        <v>158</v>
      </c>
      <c r="M11" s="24">
        <f>IF(M9&gt;0, M6/M9, 0)</f>
        <v>1496.6187500000003</v>
      </c>
    </row>
    <row r="12" spans="2:13" x14ac:dyDescent="0.3">
      <c r="G12" s="19" t="s">
        <v>150</v>
      </c>
      <c r="H12" s="27">
        <v>0.21</v>
      </c>
      <c r="I12" s="27"/>
      <c r="J12" s="27"/>
    </row>
    <row r="13" spans="2:13" x14ac:dyDescent="0.3">
      <c r="G13" s="19" t="s">
        <v>151</v>
      </c>
      <c r="H13" s="28" t="s">
        <v>65</v>
      </c>
      <c r="I13" s="28"/>
      <c r="J13" s="28"/>
    </row>
  </sheetData>
  <sheetProtection algorithmName="SHA-512" hashValue="Ci7l2vQZMj09aEGU13bfNUh9OiMfcp2ysZYeANRukPCjtBrDs/DRf2vjXKORgea6Mcl6by54YWfNa9QUYMIDtA==" saltValue="KvQRV4wX53BDjzi3aRUQtg==" spinCount="100000" objects="1" sort="0" autoFilter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bestFit="1" customWidth="1"/>
    <col min="2" max="2" width="11.77734375" style="8" bestFit="1" customWidth="1"/>
    <col min="3" max="3" width="16" bestFit="1" customWidth="1"/>
    <col min="4" max="4" width="34.109375" bestFit="1" customWidth="1"/>
    <col min="5" max="5" width="33" bestFit="1" customWidth="1"/>
    <col min="6" max="6" width="16.88671875" bestFit="1" customWidth="1"/>
    <col min="7" max="7" width="15.88671875" style="11" bestFit="1" customWidth="1"/>
    <col min="8" max="8" width="18.5546875" style="14" bestFit="1" customWidth="1"/>
    <col min="9" max="9" width="15.77734375" style="14" bestFit="1" customWidth="1"/>
    <col min="10" max="10" width="11.21875" style="17" bestFit="1" customWidth="1"/>
    <col min="11" max="11" width="16.33203125" style="14" bestFit="1" customWidth="1"/>
    <col min="12" max="12" width="19.109375" style="14" bestFit="1" customWidth="1"/>
    <col min="13" max="13" width="18.8867187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6" t="s">
        <v>111</v>
      </c>
      <c r="C2" s="36"/>
      <c r="D2" s="36"/>
      <c r="E2" s="36"/>
      <c r="F2" s="36"/>
      <c r="G2" s="36"/>
      <c r="H2" s="36"/>
      <c r="I2" s="36"/>
      <c r="J2" s="36"/>
      <c r="K2" s="36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2026-09-13T14:08:41Z</dcterms:modified>
</cp:coreProperties>
</file>