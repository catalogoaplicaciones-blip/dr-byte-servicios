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F23090E0-EFBA-457E-8C9C-9ED8FB794E2D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<sst xmlns="http://schemas.openxmlformats.org/spreadsheetml/2006/main" count="236" uniqueCount="159">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</sst>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10" borderId="0" xfId="0" applyFill="1" applyProtection="1">
      <protection locked="0"/>
    </xf>
    <xf numFmtId="0" fontId="8" fillId="0" borderId="0" xfId="0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6" fontId="11" fillId="9" borderId="2" xfId="0" applyNumberFormat="1" applyFont="1" applyFill="1" applyBorder="1" applyAlignment="1" applyProtection="1">
      <alignment horizontal="right"/>
      <protection locked="0"/>
    </xf>
    <xf numFmtId="166" fontId="12" fillId="9" borderId="2" xfId="0" applyNumberFormat="1" applyFont="1" applyFill="1" applyBorder="1" applyAlignment="1" applyProtection="1">
      <alignment horizontal="right"/>
      <protection locked="0"/>
    </xf>
    <xf numFmtId="165" fontId="12" fillId="9" borderId="2" xfId="0" applyNumberFormat="1" applyFont="1" applyFill="1" applyBorder="1" applyAlignment="1" applyProtection="1">
      <alignment horizontal="right"/>
      <protection locked="0"/>
    </xf>
    <xf numFmtId="166" fontId="13" fillId="9" borderId="2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3" fillId="3" borderId="0" xfId="0" applyNumberFormat="1" applyFont="1" applyFill="1" applyAlignment="1" applyProtection="1">
      <alignment horizontal="center"/>
      <protection locked="0"/>
    </xf>
    <xf numFmtId="165" fontId="3" fillId="3" borderId="0" xfId="0" applyNumberFormat="1" applyFont="1" applyFill="1" applyAlignment="1" applyProtection="1">
      <alignment horizontal="center"/>
      <protection locked="0"/>
    </xf>
    <xf numFmtId="166" fontId="3" fillId="3" borderId="0" xfId="0" applyNumberFormat="1" applyFont="1" applyFill="1" applyAlignment="1" applyProtection="1">
      <alignment horizontal="center"/>
      <protection locked="0"/>
    </xf>
    <xf numFmtId="9" fontId="3" fillId="3" borderId="0" xfId="0" applyNumberFormat="1" applyFont="1" applyFill="1" applyAlignment="1" applyProtection="1">
      <alignment horizontal="center"/>
      <protection locked="0"/>
    </xf>
    <xf numFmtId="0" fontId="1" fillId="5" borderId="0" xfId="0" applyFont="1" applyFill="1" applyProtection="1">
      <protection locked="0"/>
    </xf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9" fillId="8" borderId="1" xfId="0" applyFont="1" applyFill="1" applyBorder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5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127000</xdr:rowOff>
    </xdr:from>
    <xdr:to>
      <xdr:col>14</xdr:col>
      <xdr:colOff>508000</xdr:colOff>
      <xdr:row>3</xdr:row>
      <xdr:rowOff>162560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28600" y="127000"/>
          <a:ext cx="12547600" cy="584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 fLocksWithSheet="0"/>
  </xdr:twoCellAnchor>
  <xdr:twoCellAnchor>
    <xdr:from>
      <xdr:col>1</xdr:col>
      <xdr:colOff>165100</xdr:colOff>
      <xdr:row>0</xdr:row>
      <xdr:rowOff>177800</xdr:rowOff>
    </xdr:from>
    <xdr:to>
      <xdr:col>5</xdr:col>
      <xdr:colOff>586740</xdr:colOff>
      <xdr:row>2</xdr:row>
      <xdr:rowOff>116840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355600" y="177800"/>
          <a:ext cx="4064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300" b="1">
              <a:solidFill>
                <a:srgbClr val="FFFFFF"/>
              </a:solidFill>
              <a:latin typeface="Segoe UI" panose="020B0502040204020203" pitchFamily="34" charset="0"/>
            </a:rPr>
            <a:t>CUADRO DE MANDO &amp; VENTAS PRO</a:t>
          </a:r>
        </a:p>
      </xdr:txBody>
    </xdr:sp>
    <xdr:clientData fLocksWithSheet="0"/>
  </xdr:twoCellAnchor>
  <xdr:twoCellAnchor>
    <xdr:from>
      <xdr:col>5</xdr:col>
      <xdr:colOff>739140</xdr:colOff>
      <xdr:row>0</xdr:row>
      <xdr:rowOff>139700</xdr:rowOff>
    </xdr:from>
    <xdr:to>
      <xdr:col>7</xdr:col>
      <xdr:colOff>266700</xdr:colOff>
      <xdr:row>1</xdr:row>
      <xdr:rowOff>134620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4572000" y="139700"/>
          <a:ext cx="1143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 b="1">
              <a:solidFill>
                <a:srgbClr val="0E8BD7"/>
              </a:solidFill>
              <a:latin typeface="Segoe UI" panose="020B0502040204020203" pitchFamily="34" charset="0"/>
            </a:rPr>
            <a:t>FILTRAR:</a:t>
          </a:r>
        </a:p>
      </xdr:txBody>
    </xdr:sp>
    <xdr:clientData fLocksWithSheet="0"/>
  </xdr:twoCellAnchor>
  <xdr:twoCellAnchor>
    <xdr:from>
      <xdr:col>5</xdr:col>
      <xdr:colOff>739140</xdr:colOff>
      <xdr:row>1</xdr:row>
      <xdr:rowOff>96520</xdr:rowOff>
    </xdr:from>
    <xdr:to>
      <xdr:col>6</xdr:col>
      <xdr:colOff>187960</xdr:colOff>
      <xdr:row>3</xdr:row>
      <xdr:rowOff>10160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4572000" y="279400"/>
          <a:ext cx="736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 fLocksWithSheet="0"/>
  </xdr:twoCellAnchor>
  <xdr:twoCellAnchor>
    <xdr:from>
      <xdr:col>6</xdr:col>
      <xdr:colOff>264160</xdr:colOff>
      <xdr:row>1</xdr:row>
      <xdr:rowOff>96520</xdr:rowOff>
    </xdr:from>
    <xdr:to>
      <xdr:col>7</xdr:col>
      <xdr:colOff>749300</xdr:colOff>
      <xdr:row>3</xdr:row>
      <xdr:rowOff>10160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5384800" y="2794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7</xdr:col>
      <xdr:colOff>825500</xdr:colOff>
      <xdr:row>1</xdr:row>
      <xdr:rowOff>96520</xdr:rowOff>
    </xdr:from>
    <xdr:to>
      <xdr:col>8</xdr:col>
      <xdr:colOff>350520</xdr:colOff>
      <xdr:row>3</xdr:row>
      <xdr:rowOff>10160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6273800" y="2794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426720</xdr:colOff>
      <xdr:row>1</xdr:row>
      <xdr:rowOff>96520</xdr:rowOff>
    </xdr:from>
    <xdr:to>
      <xdr:col>8</xdr:col>
      <xdr:colOff>1239520</xdr:colOff>
      <xdr:row>3</xdr:row>
      <xdr:rowOff>10160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7162800" y="2794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 fLocksWithSheet="0"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 fLocksWithSheet="0"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 fLocksWithSheet="0"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 fLocksWithSheet="0"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 fLocksWithSheet="0"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 fLocksWithSheet="0"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 fLocksWithSheet="0"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 fLocksWithSheet="0"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 fLocksWithSheet="0"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 fLocksWithSheet="0"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 fLocksWithSheet="0"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 fLocksWithSheet="0"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 fLocksWithSheet="0"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 fLocksWithSheet="0"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 fLocksWithSheet="0"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 fLocksWithSheet="0"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 fLocksWithSheet="0"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 fLocksWithSheet="0"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 fLocksWithSheet="0"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 fLocksWithSheet="0"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 fLocksWithSheet="0"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 fLocksWithSheet="0"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13</xdr:col>
      <xdr:colOff>937260</xdr:colOff>
      <xdr:row>1</xdr:row>
      <xdr:rowOff>20320</xdr:rowOff>
    </xdr:from>
    <xdr:to>
      <xdr:col>14</xdr:col>
      <xdr:colOff>330200</xdr:colOff>
      <xdr:row>3</xdr:row>
      <xdr:rowOff>60960</xdr:rowOff>
    </xdr:to>
    <xdr:pic macro="AvisoMarcaDrByte"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0" y="203200"/>
          <a:ext cx="406400" cy="4064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9</xdr:col>
      <xdr:colOff>167640</xdr:colOff>
      <xdr:row>0</xdr:row>
      <xdr:rowOff>152400</xdr:rowOff>
    </xdr:from>
    <xdr:to>
      <xdr:col>13</xdr:col>
      <xdr:colOff>873760</xdr:colOff>
      <xdr:row>3</xdr:row>
      <xdr:rowOff>35560</xdr:rowOff>
    </xdr:to>
    <xdr:sp macro="AvisoMarcaDrByte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8191500" y="152400"/>
          <a:ext cx="393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DR. BYTE  |  Soporte &amp; ConsultorÃ­a
Tel: +34 607 35 39 10   | 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 fLocksWithSheet="0"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 fLocksWithSheet="0"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 fLocksWithSheet="0"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 fLocksWithSheet="0"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 fLocksWithSheet="0"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1" customWidth="1"/>
    <col min="2" max="3" width="14.77734375" style="1" customWidth="1"/>
    <col min="4" max="4" width="4.77734375" style="1" customWidth="1"/>
    <col min="5" max="6" width="18.77734375" style="1" customWidth="1"/>
    <col min="7" max="7" width="4.77734375" style="1" customWidth="1"/>
    <col min="8" max="9" width="18.77734375" style="1" customWidth="1"/>
    <col min="10" max="10" width="4.77734375" style="1" customWidth="1"/>
    <col min="11" max="12" width="18.77734375" style="1" customWidth="1"/>
    <col min="13" max="13" width="4.77734375" style="1" customWidth="1"/>
    <col min="14" max="15" width="14.77734375" style="1" customWidth="1"/>
    <col min="16" max="16384" width="11.5546875" style="1"/>
  </cols>
  <sheetData>
    <row r="1" spans="1:29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style="1" customWidth="1"/>
    <col min="2" max="2" width="22.77734375" style="1" customWidth="1"/>
    <col min="3" max="5" width="14.77734375" style="1" customWidth="1"/>
    <col min="6" max="6" width="4.77734375" style="1" customWidth="1"/>
    <col min="7" max="7" width="22.77734375" style="1" customWidth="1"/>
    <col min="8" max="10" width="14.77734375" style="1" customWidth="1"/>
    <col min="11" max="11" width="4.77734375" style="1" customWidth="1"/>
    <col min="12" max="12" width="23.77734375" style="1" customWidth="1"/>
    <col min="13" max="13" width="18.77734375" style="1" customWidth="1"/>
    <col min="14" max="16384" width="11.5546875" style="1"/>
  </cols>
  <sheetData>
    <row r="2" spans="2:13" ht="36" customHeight="1" x14ac:dyDescent="0.35">
      <c r="B2" s="34" t="s">
        <v>131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2:13" ht="18" customHeight="1" x14ac:dyDescent="0.3">
      <c r="B3" s="35" t="s">
        <v>132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5" spans="2:13" ht="24" customHeight="1" x14ac:dyDescent="0.3">
      <c r="B5" s="36" t="s">
        <v>133</v>
      </c>
      <c r="C5" s="36"/>
      <c r="D5" s="36"/>
      <c r="E5" s="36"/>
      <c r="G5" s="31" t="s">
        <v>142</v>
      </c>
      <c r="H5" s="31"/>
      <c r="I5" s="31"/>
      <c r="J5" s="31"/>
      <c r="L5" s="30" t="s">
        <v>152</v>
      </c>
      <c r="M5" s="30"/>
    </row>
    <row r="6" spans="2:13" x14ac:dyDescent="0.3">
      <c r="B6" s="14" t="s">
        <v>134</v>
      </c>
      <c r="C6" s="29" t="s">
        <v>135</v>
      </c>
      <c r="D6" s="29"/>
      <c r="E6" s="29"/>
      <c r="G6" s="14" t="s">
        <v>143</v>
      </c>
      <c r="H6" s="32">
        <f t="shared" ref="H6" ca="1" si="0">TODAY()</f>
        <v>46278</v>
      </c>
      <c r="I6" s="32"/>
      <c r="J6" s="32"/>
      <c r="L6" s="15" t="s">
        <v>153</v>
      </c>
      <c r="M6" s="16">
        <f>SUM(Ventas!L:L)</f>
        <v>23945.900000000005</v>
      </c>
    </row>
    <row r="7" spans="2:13" x14ac:dyDescent="0.3">
      <c r="B7" s="14" t="s">
        <v>136</v>
      </c>
      <c r="C7" s="29" t="s">
        <v>137</v>
      </c>
      <c r="D7" s="29"/>
      <c r="E7" s="29"/>
      <c r="G7" s="14" t="s">
        <v>144</v>
      </c>
      <c r="H7" s="29" t="s">
        <v>7</v>
      </c>
      <c r="I7" s="29"/>
      <c r="J7" s="29"/>
      <c r="L7" s="15" t="s">
        <v>154</v>
      </c>
      <c r="M7" s="17">
        <f>SUM(Ventas!I:I)</f>
        <v>19790</v>
      </c>
    </row>
    <row r="8" spans="2:13" x14ac:dyDescent="0.3">
      <c r="B8" s="14" t="s">
        <v>138</v>
      </c>
      <c r="C8" s="29">
        <v>915554433</v>
      </c>
      <c r="D8" s="29"/>
      <c r="E8" s="29"/>
      <c r="G8" s="14" t="s">
        <v>145</v>
      </c>
      <c r="H8" s="29" t="s">
        <v>146</v>
      </c>
      <c r="I8" s="29"/>
      <c r="J8" s="29"/>
      <c r="L8" s="15" t="s">
        <v>155</v>
      </c>
      <c r="M8" s="17">
        <f>SUM(Ventas!K:K)</f>
        <v>4155.8999999999996</v>
      </c>
    </row>
    <row r="9" spans="2:13" x14ac:dyDescent="0.3">
      <c r="B9" s="14" t="s">
        <v>139</v>
      </c>
      <c r="C9" s="29" t="s">
        <v>140</v>
      </c>
      <c r="D9" s="29"/>
      <c r="E9" s="29"/>
      <c r="G9" s="14" t="s">
        <v>147</v>
      </c>
      <c r="H9" s="29" t="s">
        <v>64</v>
      </c>
      <c r="I9" s="29"/>
      <c r="J9" s="29"/>
      <c r="L9" s="15" t="s">
        <v>156</v>
      </c>
      <c r="M9" s="18">
        <f>COUNTA(Ventas!A:A)-1</f>
        <v>16</v>
      </c>
    </row>
    <row r="10" spans="2:13" x14ac:dyDescent="0.3">
      <c r="B10" s="14" t="s">
        <v>141</v>
      </c>
      <c r="C10" s="29" t="s">
        <v>11</v>
      </c>
      <c r="D10" s="29"/>
      <c r="E10" s="29"/>
      <c r="G10" s="14" t="s">
        <v>148</v>
      </c>
      <c r="H10" s="33">
        <v>1</v>
      </c>
      <c r="I10" s="33"/>
      <c r="J10" s="33"/>
      <c r="L10" s="15" t="s">
        <v>157</v>
      </c>
      <c r="M10" s="18">
        <f>COUNTA(Clientes!A:A)-1</f>
        <v>8</v>
      </c>
    </row>
    <row r="11" spans="2:13" x14ac:dyDescent="0.3">
      <c r="G11" s="14" t="s">
        <v>149</v>
      </c>
      <c r="H11" s="27">
        <v>2450</v>
      </c>
      <c r="I11" s="27"/>
      <c r="J11" s="27"/>
      <c r="L11" s="15" t="s">
        <v>158</v>
      </c>
      <c r="M11" s="19">
        <f>IF(M9&gt;0, M6/M9, 0)</f>
        <v>1496.6187500000003</v>
      </c>
    </row>
    <row r="12" spans="2:13" x14ac:dyDescent="0.3">
      <c r="G12" s="14" t="s">
        <v>150</v>
      </c>
      <c r="H12" s="28">
        <v>0.21</v>
      </c>
      <c r="I12" s="28"/>
      <c r="J12" s="28"/>
    </row>
    <row r="13" spans="2:13" x14ac:dyDescent="0.3">
      <c r="G13" s="14" t="s">
        <v>151</v>
      </c>
      <c r="H13" s="29" t="s">
        <v>65</v>
      </c>
      <c r="I13" s="29"/>
      <c r="J13" s="29"/>
    </row>
  </sheetData>
  <sheetProtection formatCells="0" formatColumns="0" formatRows="0" insertColumns="0" insertRows="0" insertHyperlinks="0" deleteColumns="0" deleteRows="0" sort="0" autoFilter="0" pivotTables="0"/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1" max="1" width="11.5546875" style="1"/>
    <col min="2" max="2" width="10.21875" style="1" bestFit="1" customWidth="1"/>
    <col min="3" max="3" width="34.109375" style="1" bestFit="1" customWidth="1"/>
    <col min="4" max="4" width="11.109375" style="1" bestFit="1" customWidth="1"/>
    <col min="5" max="5" width="23.21875" style="1" bestFit="1" customWidth="1"/>
    <col min="6" max="6" width="9.6640625" style="1" bestFit="1" customWidth="1"/>
    <col min="7" max="7" width="13" style="1" bestFit="1" customWidth="1"/>
    <col min="8" max="16384" width="11.5546875" style="1"/>
  </cols>
  <sheetData>
    <row r="1" spans="1:7" ht="16.8" x14ac:dyDescent="0.4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7" ht="15" x14ac:dyDescent="0.35">
      <c r="A2" s="2" t="s">
        <v>7</v>
      </c>
      <c r="B2" s="2" t="s">
        <v>8</v>
      </c>
      <c r="C2" s="3" t="s">
        <v>9</v>
      </c>
      <c r="D2" s="2">
        <v>912345678</v>
      </c>
      <c r="E2" s="3" t="s">
        <v>10</v>
      </c>
      <c r="F2" s="3" t="s">
        <v>11</v>
      </c>
      <c r="G2" s="4">
        <v>46296</v>
      </c>
    </row>
    <row r="3" spans="1:7" ht="15" x14ac:dyDescent="0.35">
      <c r="A3" s="2" t="s">
        <v>12</v>
      </c>
      <c r="B3" s="2" t="s">
        <v>13</v>
      </c>
      <c r="C3" s="3" t="s">
        <v>14</v>
      </c>
      <c r="D3" s="2">
        <v>942112233</v>
      </c>
      <c r="E3" s="3" t="s">
        <v>15</v>
      </c>
      <c r="F3" s="3" t="s">
        <v>16</v>
      </c>
      <c r="G3" s="2" t="s">
        <v>17</v>
      </c>
    </row>
    <row r="4" spans="1:7" ht="15" x14ac:dyDescent="0.35">
      <c r="A4" s="2" t="s">
        <v>18</v>
      </c>
      <c r="B4" s="2" t="s">
        <v>19</v>
      </c>
      <c r="C4" s="3" t="s">
        <v>20</v>
      </c>
      <c r="D4" s="2">
        <v>954987654</v>
      </c>
      <c r="E4" s="3" t="s">
        <v>21</v>
      </c>
      <c r="F4" s="3" t="s">
        <v>22</v>
      </c>
      <c r="G4" s="4">
        <v>46055</v>
      </c>
    </row>
    <row r="5" spans="1:7" ht="15" x14ac:dyDescent="0.35">
      <c r="A5" s="2" t="s">
        <v>23</v>
      </c>
      <c r="B5" s="2" t="s">
        <v>24</v>
      </c>
      <c r="C5" s="3" t="s">
        <v>25</v>
      </c>
      <c r="D5" s="2">
        <v>963112244</v>
      </c>
      <c r="E5" s="3" t="s">
        <v>26</v>
      </c>
      <c r="F5" s="3" t="s">
        <v>27</v>
      </c>
      <c r="G5" s="4">
        <v>46358</v>
      </c>
    </row>
    <row r="6" spans="1:7" ht="15" x14ac:dyDescent="0.35">
      <c r="A6" s="2" t="s">
        <v>28</v>
      </c>
      <c r="B6" s="2" t="s">
        <v>29</v>
      </c>
      <c r="C6" s="3" t="s">
        <v>30</v>
      </c>
      <c r="D6" s="2">
        <v>944556677</v>
      </c>
      <c r="E6" s="3" t="s">
        <v>31</v>
      </c>
      <c r="F6" s="3" t="s">
        <v>32</v>
      </c>
      <c r="G6" s="2" t="s">
        <v>33</v>
      </c>
    </row>
    <row r="7" spans="1:7" ht="15" x14ac:dyDescent="0.35">
      <c r="A7" s="2" t="s">
        <v>34</v>
      </c>
      <c r="B7" s="2" t="s">
        <v>35</v>
      </c>
      <c r="C7" s="3" t="s">
        <v>36</v>
      </c>
      <c r="D7" s="2">
        <v>976223344</v>
      </c>
      <c r="E7" s="3" t="s">
        <v>37</v>
      </c>
      <c r="F7" s="3" t="s">
        <v>38</v>
      </c>
      <c r="G7" s="2" t="s">
        <v>39</v>
      </c>
    </row>
    <row r="8" spans="1:7" ht="15" x14ac:dyDescent="0.35">
      <c r="A8" s="2" t="s">
        <v>40</v>
      </c>
      <c r="B8" s="2" t="s">
        <v>41</v>
      </c>
      <c r="C8" s="3" t="s">
        <v>42</v>
      </c>
      <c r="D8" s="2">
        <v>986445566</v>
      </c>
      <c r="E8" s="3" t="s">
        <v>43</v>
      </c>
      <c r="F8" s="3" t="s">
        <v>44</v>
      </c>
      <c r="G8" s="4">
        <v>46025</v>
      </c>
    </row>
    <row r="9" spans="1:7" ht="15" x14ac:dyDescent="0.35">
      <c r="A9" s="2" t="s">
        <v>45</v>
      </c>
      <c r="B9" s="2" t="s">
        <v>46</v>
      </c>
      <c r="C9" s="3" t="s">
        <v>47</v>
      </c>
      <c r="D9" s="2">
        <v>922334455</v>
      </c>
      <c r="E9" s="3" t="s">
        <v>48</v>
      </c>
      <c r="F9" s="3" t="s">
        <v>49</v>
      </c>
      <c r="G9" s="4">
        <v>46145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style="1" bestFit="1" customWidth="1"/>
    <col min="2" max="2" width="11.77734375" style="9" bestFit="1" customWidth="1"/>
    <col min="3" max="3" width="16" style="1" bestFit="1" customWidth="1"/>
    <col min="4" max="4" width="34.109375" style="1" bestFit="1" customWidth="1"/>
    <col min="5" max="5" width="33" style="1" bestFit="1" customWidth="1"/>
    <col min="6" max="6" width="16.88671875" style="1" bestFit="1" customWidth="1"/>
    <col min="7" max="7" width="15.88671875" style="10" bestFit="1" customWidth="1"/>
    <col min="8" max="8" width="18.5546875" style="11" bestFit="1" customWidth="1"/>
    <col min="9" max="9" width="15.77734375" style="11" bestFit="1" customWidth="1"/>
    <col min="10" max="10" width="11.21875" style="12" bestFit="1" customWidth="1"/>
    <col min="11" max="11" width="16.33203125" style="11" bestFit="1" customWidth="1"/>
    <col min="12" max="12" width="19.109375" style="11" bestFit="1" customWidth="1"/>
    <col min="13" max="13" width="18.88671875" style="1" bestFit="1" customWidth="1"/>
    <col min="14" max="16384" width="11.5546875" style="1"/>
  </cols>
  <sheetData>
    <row r="1" spans="1:13" ht="16.8" x14ac:dyDescent="0.4">
      <c r="A1" s="21" t="s">
        <v>50</v>
      </c>
      <c r="B1" s="22" t="s">
        <v>51</v>
      </c>
      <c r="C1" s="21" t="s">
        <v>0</v>
      </c>
      <c r="D1" s="21" t="s">
        <v>52</v>
      </c>
      <c r="E1" s="21" t="s">
        <v>53</v>
      </c>
      <c r="F1" s="21" t="s">
        <v>54</v>
      </c>
      <c r="G1" s="23" t="s">
        <v>55</v>
      </c>
      <c r="H1" s="24" t="s">
        <v>56</v>
      </c>
      <c r="I1" s="24" t="s">
        <v>57</v>
      </c>
      <c r="J1" s="25" t="s">
        <v>58</v>
      </c>
      <c r="K1" s="24" t="s">
        <v>59</v>
      </c>
      <c r="L1" s="24" t="s">
        <v>60</v>
      </c>
      <c r="M1" s="21" t="s">
        <v>61</v>
      </c>
    </row>
    <row r="2" spans="1:13" ht="15" x14ac:dyDescent="0.35">
      <c r="A2" s="3" t="s">
        <v>62</v>
      </c>
      <c r="B2" s="5" t="s">
        <v>17</v>
      </c>
      <c r="C2" s="3" t="s">
        <v>7</v>
      </c>
      <c r="D2" s="3" t="s">
        <v>9</v>
      </c>
      <c r="E2" s="3" t="s">
        <v>63</v>
      </c>
      <c r="F2" s="3" t="s">
        <v>64</v>
      </c>
      <c r="G2" s="6">
        <v>2</v>
      </c>
      <c r="H2" s="7">
        <v>1450</v>
      </c>
      <c r="I2" s="7">
        <f t="shared" ref="I2:I17" si="0">G2*H2</f>
        <v>2900</v>
      </c>
      <c r="J2" s="8">
        <v>0.21</v>
      </c>
      <c r="K2" s="7">
        <f t="shared" ref="K2:K17" si="1">I2*J2</f>
        <v>609</v>
      </c>
      <c r="L2" s="7">
        <f t="shared" ref="L2:L17" si="2">I2+K2</f>
        <v>3509</v>
      </c>
      <c r="M2" s="3" t="s">
        <v>65</v>
      </c>
    </row>
    <row r="3" spans="1:13" ht="15" x14ac:dyDescent="0.35">
      <c r="A3" s="3" t="s">
        <v>66</v>
      </c>
      <c r="B3" s="5" t="s">
        <v>67</v>
      </c>
      <c r="C3" s="3" t="s">
        <v>12</v>
      </c>
      <c r="D3" s="3" t="s">
        <v>14</v>
      </c>
      <c r="E3" s="3" t="s">
        <v>68</v>
      </c>
      <c r="F3" s="3" t="s">
        <v>69</v>
      </c>
      <c r="G3" s="6">
        <v>1</v>
      </c>
      <c r="H3" s="7">
        <v>950</v>
      </c>
      <c r="I3" s="7">
        <f t="shared" si="0"/>
        <v>950</v>
      </c>
      <c r="J3" s="8">
        <v>0.21</v>
      </c>
      <c r="K3" s="7">
        <f t="shared" si="1"/>
        <v>199.5</v>
      </c>
      <c r="L3" s="7">
        <f t="shared" si="2"/>
        <v>1149.5</v>
      </c>
      <c r="M3" s="3" t="s">
        <v>65</v>
      </c>
    </row>
    <row r="4" spans="1:13" ht="15" x14ac:dyDescent="0.35">
      <c r="A4" s="3" t="s">
        <v>70</v>
      </c>
      <c r="B4" s="5">
        <v>46144</v>
      </c>
      <c r="C4" s="3" t="s">
        <v>18</v>
      </c>
      <c r="D4" s="3" t="s">
        <v>20</v>
      </c>
      <c r="E4" s="3" t="s">
        <v>71</v>
      </c>
      <c r="F4" s="3" t="s">
        <v>72</v>
      </c>
      <c r="G4" s="6">
        <v>3</v>
      </c>
      <c r="H4" s="7">
        <v>380</v>
      </c>
      <c r="I4" s="7">
        <f t="shared" si="0"/>
        <v>1140</v>
      </c>
      <c r="J4" s="8">
        <v>0.21</v>
      </c>
      <c r="K4" s="7">
        <f t="shared" si="1"/>
        <v>239.39999999999998</v>
      </c>
      <c r="L4" s="7">
        <f t="shared" si="2"/>
        <v>1379.4</v>
      </c>
      <c r="M4" s="3" t="s">
        <v>73</v>
      </c>
    </row>
    <row r="5" spans="1:13" ht="15" x14ac:dyDescent="0.35">
      <c r="A5" s="3" t="s">
        <v>74</v>
      </c>
      <c r="B5" s="5" t="s">
        <v>75</v>
      </c>
      <c r="C5" s="3" t="s">
        <v>7</v>
      </c>
      <c r="D5" s="3" t="s">
        <v>9</v>
      </c>
      <c r="E5" s="3" t="s">
        <v>76</v>
      </c>
      <c r="F5" s="3" t="s">
        <v>77</v>
      </c>
      <c r="G5" s="6">
        <v>1</v>
      </c>
      <c r="H5" s="7">
        <v>600</v>
      </c>
      <c r="I5" s="7">
        <f t="shared" si="0"/>
        <v>600</v>
      </c>
      <c r="J5" s="8">
        <v>0.21</v>
      </c>
      <c r="K5" s="7">
        <f t="shared" si="1"/>
        <v>126</v>
      </c>
      <c r="L5" s="7">
        <f t="shared" si="2"/>
        <v>726</v>
      </c>
      <c r="M5" s="3" t="s">
        <v>65</v>
      </c>
    </row>
    <row r="6" spans="1:13" ht="15" x14ac:dyDescent="0.35">
      <c r="A6" s="3" t="s">
        <v>78</v>
      </c>
      <c r="B6" s="5" t="s">
        <v>79</v>
      </c>
      <c r="C6" s="3" t="s">
        <v>23</v>
      </c>
      <c r="D6" s="3" t="s">
        <v>25</v>
      </c>
      <c r="E6" s="3" t="s">
        <v>80</v>
      </c>
      <c r="F6" s="3" t="s">
        <v>64</v>
      </c>
      <c r="G6" s="6">
        <v>2</v>
      </c>
      <c r="H6" s="7">
        <v>890</v>
      </c>
      <c r="I6" s="7">
        <f t="shared" si="0"/>
        <v>1780</v>
      </c>
      <c r="J6" s="8">
        <v>0.21</v>
      </c>
      <c r="K6" s="7">
        <f t="shared" si="1"/>
        <v>373.8</v>
      </c>
      <c r="L6" s="7">
        <f t="shared" si="2"/>
        <v>2153.8000000000002</v>
      </c>
      <c r="M6" s="3" t="s">
        <v>65</v>
      </c>
    </row>
    <row r="7" spans="1:13" ht="15" x14ac:dyDescent="0.35">
      <c r="A7" s="3" t="s">
        <v>81</v>
      </c>
      <c r="B7" s="5" t="s">
        <v>39</v>
      </c>
      <c r="C7" s="3" t="s">
        <v>28</v>
      </c>
      <c r="D7" s="3" t="s">
        <v>30</v>
      </c>
      <c r="E7" s="3" t="s">
        <v>82</v>
      </c>
      <c r="F7" s="3" t="s">
        <v>69</v>
      </c>
      <c r="G7" s="6">
        <v>1</v>
      </c>
      <c r="H7" s="7">
        <v>1850</v>
      </c>
      <c r="I7" s="7">
        <f t="shared" si="0"/>
        <v>1850</v>
      </c>
      <c r="J7" s="8">
        <v>0.21</v>
      </c>
      <c r="K7" s="7">
        <f t="shared" si="1"/>
        <v>388.5</v>
      </c>
      <c r="L7" s="7">
        <f t="shared" si="2"/>
        <v>2238.5</v>
      </c>
      <c r="M7" s="3" t="s">
        <v>65</v>
      </c>
    </row>
    <row r="8" spans="1:13" ht="15" x14ac:dyDescent="0.35">
      <c r="A8" s="3" t="s">
        <v>83</v>
      </c>
      <c r="B8" s="5">
        <v>46056</v>
      </c>
      <c r="C8" s="3" t="s">
        <v>34</v>
      </c>
      <c r="D8" s="3" t="s">
        <v>36</v>
      </c>
      <c r="E8" s="3" t="s">
        <v>84</v>
      </c>
      <c r="F8" s="3" t="s">
        <v>72</v>
      </c>
      <c r="G8" s="6">
        <v>50</v>
      </c>
      <c r="H8" s="7">
        <v>45</v>
      </c>
      <c r="I8" s="7">
        <f t="shared" si="0"/>
        <v>2250</v>
      </c>
      <c r="J8" s="8">
        <v>0.21</v>
      </c>
      <c r="K8" s="7">
        <f t="shared" si="1"/>
        <v>472.5</v>
      </c>
      <c r="L8" s="7">
        <f t="shared" si="2"/>
        <v>2722.5</v>
      </c>
      <c r="M8" s="3" t="s">
        <v>73</v>
      </c>
    </row>
    <row r="9" spans="1:13" ht="15" x14ac:dyDescent="0.35">
      <c r="A9" s="3" t="s">
        <v>85</v>
      </c>
      <c r="B9" s="5">
        <v>46145</v>
      </c>
      <c r="C9" s="3" t="s">
        <v>40</v>
      </c>
      <c r="D9" s="3" t="s">
        <v>42</v>
      </c>
      <c r="E9" s="3" t="s">
        <v>86</v>
      </c>
      <c r="F9" s="3" t="s">
        <v>64</v>
      </c>
      <c r="G9" s="6">
        <v>4</v>
      </c>
      <c r="H9" s="7">
        <v>340</v>
      </c>
      <c r="I9" s="7">
        <f t="shared" si="0"/>
        <v>1360</v>
      </c>
      <c r="J9" s="8">
        <v>0.21</v>
      </c>
      <c r="K9" s="7">
        <f t="shared" si="1"/>
        <v>285.59999999999997</v>
      </c>
      <c r="L9" s="7">
        <f t="shared" si="2"/>
        <v>1645.6</v>
      </c>
      <c r="M9" s="3" t="s">
        <v>73</v>
      </c>
    </row>
    <row r="10" spans="1:13" ht="15" x14ac:dyDescent="0.35">
      <c r="A10" s="3" t="s">
        <v>87</v>
      </c>
      <c r="B10" s="5">
        <v>46237</v>
      </c>
      <c r="C10" s="3" t="s">
        <v>45</v>
      </c>
      <c r="D10" s="3" t="s">
        <v>47</v>
      </c>
      <c r="E10" s="3" t="s">
        <v>88</v>
      </c>
      <c r="F10" s="3" t="s">
        <v>69</v>
      </c>
      <c r="G10" s="6">
        <v>1</v>
      </c>
      <c r="H10" s="7">
        <v>1300</v>
      </c>
      <c r="I10" s="7">
        <f t="shared" si="0"/>
        <v>1300</v>
      </c>
      <c r="J10" s="8">
        <v>0.21</v>
      </c>
      <c r="K10" s="7">
        <f t="shared" si="1"/>
        <v>273</v>
      </c>
      <c r="L10" s="7">
        <f t="shared" si="2"/>
        <v>1573</v>
      </c>
      <c r="M10" s="3" t="s">
        <v>65</v>
      </c>
    </row>
    <row r="11" spans="1:13" ht="15" x14ac:dyDescent="0.35">
      <c r="A11" s="3" t="s">
        <v>89</v>
      </c>
      <c r="B11" s="5">
        <v>46359</v>
      </c>
      <c r="C11" s="3" t="s">
        <v>12</v>
      </c>
      <c r="D11" s="3" t="s">
        <v>14</v>
      </c>
      <c r="E11" s="3" t="s">
        <v>90</v>
      </c>
      <c r="F11" s="3" t="s">
        <v>77</v>
      </c>
      <c r="G11" s="6">
        <v>1</v>
      </c>
      <c r="H11" s="7">
        <v>750</v>
      </c>
      <c r="I11" s="7">
        <f t="shared" si="0"/>
        <v>750</v>
      </c>
      <c r="J11" s="8">
        <v>0.21</v>
      </c>
      <c r="K11" s="7">
        <f t="shared" si="1"/>
        <v>157.5</v>
      </c>
      <c r="L11" s="7">
        <f t="shared" si="2"/>
        <v>907.5</v>
      </c>
      <c r="M11" s="3" t="s">
        <v>91</v>
      </c>
    </row>
    <row r="12" spans="1:13" ht="15" x14ac:dyDescent="0.35">
      <c r="A12" s="3" t="s">
        <v>92</v>
      </c>
      <c r="B12" s="5" t="s">
        <v>93</v>
      </c>
      <c r="C12" s="3" t="s">
        <v>18</v>
      </c>
      <c r="D12" s="3" t="s">
        <v>20</v>
      </c>
      <c r="E12" s="3" t="s">
        <v>94</v>
      </c>
      <c r="F12" s="3" t="s">
        <v>64</v>
      </c>
      <c r="G12" s="6">
        <v>1</v>
      </c>
      <c r="H12" s="7">
        <v>920</v>
      </c>
      <c r="I12" s="7">
        <f t="shared" si="0"/>
        <v>920</v>
      </c>
      <c r="J12" s="8">
        <v>0.21</v>
      </c>
      <c r="K12" s="7">
        <f t="shared" si="1"/>
        <v>193.2</v>
      </c>
      <c r="L12" s="7">
        <f t="shared" si="2"/>
        <v>1113.2</v>
      </c>
      <c r="M12" s="3" t="s">
        <v>73</v>
      </c>
    </row>
    <row r="13" spans="1:13" ht="15" x14ac:dyDescent="0.35">
      <c r="A13" s="3" t="s">
        <v>95</v>
      </c>
      <c r="B13" s="5" t="s">
        <v>96</v>
      </c>
      <c r="C13" s="3" t="s">
        <v>23</v>
      </c>
      <c r="D13" s="3" t="s">
        <v>25</v>
      </c>
      <c r="E13" s="3" t="s">
        <v>97</v>
      </c>
      <c r="F13" s="3" t="s">
        <v>69</v>
      </c>
      <c r="G13" s="6">
        <v>1</v>
      </c>
      <c r="H13" s="7">
        <v>800</v>
      </c>
      <c r="I13" s="7">
        <f t="shared" si="0"/>
        <v>800</v>
      </c>
      <c r="J13" s="8">
        <v>0.21</v>
      </c>
      <c r="K13" s="7">
        <f t="shared" si="1"/>
        <v>168</v>
      </c>
      <c r="L13" s="7">
        <f t="shared" si="2"/>
        <v>968</v>
      </c>
      <c r="M13" s="3" t="s">
        <v>98</v>
      </c>
    </row>
    <row r="14" spans="1:13" ht="15" x14ac:dyDescent="0.35">
      <c r="A14" s="3" t="s">
        <v>99</v>
      </c>
      <c r="B14" s="5" t="s">
        <v>100</v>
      </c>
      <c r="C14" s="3" t="s">
        <v>28</v>
      </c>
      <c r="D14" s="3" t="s">
        <v>30</v>
      </c>
      <c r="E14" s="3" t="s">
        <v>101</v>
      </c>
      <c r="F14" s="3" t="s">
        <v>72</v>
      </c>
      <c r="G14" s="6">
        <v>2</v>
      </c>
      <c r="H14" s="7">
        <v>220</v>
      </c>
      <c r="I14" s="7">
        <f t="shared" si="0"/>
        <v>440</v>
      </c>
      <c r="J14" s="8">
        <v>0.21</v>
      </c>
      <c r="K14" s="7">
        <f t="shared" si="1"/>
        <v>92.399999999999991</v>
      </c>
      <c r="L14" s="7">
        <f t="shared" si="2"/>
        <v>532.4</v>
      </c>
      <c r="M14" s="3" t="s">
        <v>73</v>
      </c>
    </row>
    <row r="15" spans="1:13" ht="15" x14ac:dyDescent="0.35">
      <c r="A15" s="3" t="s">
        <v>102</v>
      </c>
      <c r="B15" s="5" t="s">
        <v>103</v>
      </c>
      <c r="C15" s="3" t="s">
        <v>34</v>
      </c>
      <c r="D15" s="3" t="s">
        <v>36</v>
      </c>
      <c r="E15" s="3" t="s">
        <v>104</v>
      </c>
      <c r="F15" s="3" t="s">
        <v>77</v>
      </c>
      <c r="G15" s="6">
        <v>1</v>
      </c>
      <c r="H15" s="7">
        <v>500</v>
      </c>
      <c r="I15" s="7">
        <f t="shared" si="0"/>
        <v>500</v>
      </c>
      <c r="J15" s="8">
        <v>0.21</v>
      </c>
      <c r="K15" s="7">
        <f t="shared" si="1"/>
        <v>105</v>
      </c>
      <c r="L15" s="7">
        <f t="shared" si="2"/>
        <v>605</v>
      </c>
      <c r="M15" s="3" t="s">
        <v>65</v>
      </c>
    </row>
    <row r="16" spans="1:13" ht="15" x14ac:dyDescent="0.35">
      <c r="A16" s="3" t="s">
        <v>105</v>
      </c>
      <c r="B16" s="5" t="s">
        <v>106</v>
      </c>
      <c r="C16" s="3" t="s">
        <v>40</v>
      </c>
      <c r="D16" s="3" t="s">
        <v>42</v>
      </c>
      <c r="E16" s="3" t="s">
        <v>107</v>
      </c>
      <c r="F16" s="3" t="s">
        <v>69</v>
      </c>
      <c r="G16" s="6">
        <v>1</v>
      </c>
      <c r="H16" s="7">
        <v>450</v>
      </c>
      <c r="I16" s="7">
        <f t="shared" si="0"/>
        <v>450</v>
      </c>
      <c r="J16" s="8">
        <v>0.21</v>
      </c>
      <c r="K16" s="7">
        <f t="shared" si="1"/>
        <v>94.5</v>
      </c>
      <c r="L16" s="7">
        <f t="shared" si="2"/>
        <v>544.5</v>
      </c>
      <c r="M16" s="3" t="s">
        <v>98</v>
      </c>
    </row>
    <row r="17" spans="1:13" ht="15" x14ac:dyDescent="0.35">
      <c r="A17" s="3" t="s">
        <v>108</v>
      </c>
      <c r="B17" s="5" t="s">
        <v>109</v>
      </c>
      <c r="C17" s="3" t="s">
        <v>45</v>
      </c>
      <c r="D17" s="3" t="s">
        <v>47</v>
      </c>
      <c r="E17" s="3" t="s">
        <v>110</v>
      </c>
      <c r="F17" s="3" t="s">
        <v>72</v>
      </c>
      <c r="G17" s="6">
        <v>10</v>
      </c>
      <c r="H17" s="7">
        <v>180</v>
      </c>
      <c r="I17" s="7">
        <f t="shared" si="0"/>
        <v>1800</v>
      </c>
      <c r="J17" s="8">
        <v>0.21</v>
      </c>
      <c r="K17" s="7">
        <f t="shared" si="1"/>
        <v>378</v>
      </c>
      <c r="L17" s="7">
        <f t="shared" si="2"/>
        <v>2178</v>
      </c>
      <c r="M17" s="3" t="s">
        <v>73</v>
      </c>
    </row>
  </sheetData>
  <sheetProtection formatCells="0" formatColumns="0" formatRows="0" insertColumns="0" insertRows="0" insertHyperlinks="0" deleteColumns="0" deleteRows="0" sort="0" autoFilter="0" pivotTables="0"/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1" max="1" width="11.5546875" style="1"/>
    <col min="2" max="2" width="13" style="1" bestFit="1" customWidth="1"/>
    <col min="3" max="3" width="14" style="1" bestFit="1" customWidth="1"/>
    <col min="4" max="4" width="16.77734375" style="1" bestFit="1" customWidth="1"/>
    <col min="5" max="5" width="11.5546875" style="1"/>
    <col min="6" max="6" width="13.21875" style="1" bestFit="1" customWidth="1"/>
    <col min="7" max="7" width="10.109375" style="1" bestFit="1" customWidth="1"/>
    <col min="8" max="8" width="16.77734375" style="1" bestFit="1" customWidth="1"/>
    <col min="9" max="9" width="11.5546875" style="1"/>
    <col min="10" max="10" width="21.44140625" style="1" bestFit="1" customWidth="1"/>
    <col min="11" max="11" width="16.77734375" style="1" bestFit="1" customWidth="1"/>
    <col min="12" max="16384" width="11.5546875" style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26" t="s">
        <v>54</v>
      </c>
      <c r="C4" s="26" t="s">
        <v>112</v>
      </c>
      <c r="D4" s="26" t="s">
        <v>113</v>
      </c>
      <c r="F4" s="26" t="s">
        <v>61</v>
      </c>
      <c r="G4" s="26" t="s">
        <v>112</v>
      </c>
      <c r="H4" s="26" t="s">
        <v>113</v>
      </c>
      <c r="J4" s="26" t="s">
        <v>53</v>
      </c>
      <c r="K4" s="26" t="s">
        <v>113</v>
      </c>
    </row>
    <row r="5" spans="2:11" x14ac:dyDescent="0.3">
      <c r="B5" s="1" t="s">
        <v>64</v>
      </c>
      <c r="C5" s="1">
        <f>COUNTIF(Ventas!F:F, B5)</f>
        <v>4</v>
      </c>
      <c r="D5" s="11">
        <f>SUMIF(Ventas!F:F, B5, Ventas!L:L)</f>
        <v>8421.6</v>
      </c>
      <c r="F5" s="1" t="s">
        <v>65</v>
      </c>
      <c r="G5" s="1">
        <f>COUNTIF(Ventas!M:M, F5)</f>
        <v>7</v>
      </c>
      <c r="H5" s="11">
        <f>SUMIF(Ventas!M:M, F5, Ventas!L:L)</f>
        <v>11954.8</v>
      </c>
      <c r="J5" s="1" t="s">
        <v>114</v>
      </c>
      <c r="K5" s="11">
        <v>3509</v>
      </c>
    </row>
    <row r="6" spans="2:11" x14ac:dyDescent="0.3">
      <c r="B6" s="1" t="s">
        <v>69</v>
      </c>
      <c r="C6" s="1">
        <f>COUNTIF(Ventas!F:F, B6)</f>
        <v>5</v>
      </c>
      <c r="D6" s="11">
        <f>SUMIF(Ventas!F:F, B6, Ventas!L:L)</f>
        <v>6473.5</v>
      </c>
      <c r="F6" s="1" t="s">
        <v>73</v>
      </c>
      <c r="G6" s="1">
        <f>COUNTIF(Ventas!M:M, F6)</f>
        <v>6</v>
      </c>
      <c r="H6" s="11">
        <f>SUMIF(Ventas!M:M, F6, Ventas!L:L)</f>
        <v>9571.0999999999985</v>
      </c>
      <c r="J6" s="1" t="s">
        <v>115</v>
      </c>
      <c r="K6" s="11">
        <v>2722.5</v>
      </c>
    </row>
    <row r="7" spans="2:11" x14ac:dyDescent="0.3">
      <c r="B7" s="1" t="s">
        <v>72</v>
      </c>
      <c r="C7" s="1">
        <f>COUNTIF(Ventas!F:F, B7)</f>
        <v>4</v>
      </c>
      <c r="D7" s="11">
        <f>SUMIF(Ventas!F:F, B7, Ventas!L:L)</f>
        <v>6812.2999999999993</v>
      </c>
      <c r="F7" s="1" t="s">
        <v>91</v>
      </c>
      <c r="G7" s="1">
        <f>COUNTIF(Ventas!M:M, F7)</f>
        <v>1</v>
      </c>
      <c r="H7" s="11">
        <f>SUMIF(Ventas!M:M, F7, Ventas!L:L)</f>
        <v>907.5</v>
      </c>
      <c r="J7" s="1" t="s">
        <v>116</v>
      </c>
      <c r="K7" s="11">
        <v>2238.5</v>
      </c>
    </row>
    <row r="8" spans="2:11" x14ac:dyDescent="0.3">
      <c r="B8" s="1" t="s">
        <v>77</v>
      </c>
      <c r="C8" s="1">
        <f>COUNTIF(Ventas!F:F, B8)</f>
        <v>3</v>
      </c>
      <c r="D8" s="11">
        <f>SUMIF(Ventas!F:F, B8, Ventas!L:L)</f>
        <v>2238.5</v>
      </c>
      <c r="F8" s="1" t="s">
        <v>98</v>
      </c>
      <c r="G8" s="1">
        <f>COUNTIF(Ventas!M:M, F8)</f>
        <v>2</v>
      </c>
      <c r="H8" s="11">
        <f>SUMIF(Ventas!M:M, F8, Ventas!L:L)</f>
        <v>1512.5</v>
      </c>
      <c r="J8" s="1" t="s">
        <v>117</v>
      </c>
      <c r="K8" s="11">
        <v>2153.8000000000002</v>
      </c>
    </row>
    <row r="9" spans="2:11" x14ac:dyDescent="0.3">
      <c r="J9" s="1" t="s">
        <v>118</v>
      </c>
      <c r="K9" s="11">
        <v>2178</v>
      </c>
    </row>
    <row r="12" spans="2:11" x14ac:dyDescent="0.3">
      <c r="B12" s="26" t="s">
        <v>119</v>
      </c>
      <c r="C12" s="26" t="s">
        <v>120</v>
      </c>
      <c r="D12" s="26" t="s">
        <v>121</v>
      </c>
      <c r="F12" s="1" t="s">
        <v>127</v>
      </c>
      <c r="G12" s="1" t="s">
        <v>128</v>
      </c>
    </row>
    <row r="13" spans="2:11" x14ac:dyDescent="0.3">
      <c r="B13" s="1" t="s">
        <v>122</v>
      </c>
      <c r="C13" s="1">
        <v>130</v>
      </c>
      <c r="D13" s="1">
        <v>212</v>
      </c>
      <c r="F13" s="1" t="s">
        <v>129</v>
      </c>
      <c r="G13" s="1">
        <f>SUM(Ventas!I:I)</f>
        <v>19790</v>
      </c>
    </row>
    <row r="14" spans="2:11" x14ac:dyDescent="0.3">
      <c r="B14" s="1" t="s">
        <v>123</v>
      </c>
      <c r="C14" s="1">
        <v>311</v>
      </c>
      <c r="D14" s="1">
        <v>552</v>
      </c>
      <c r="F14" s="1" t="s">
        <v>130</v>
      </c>
      <c r="G14" s="1">
        <f>SUM(Ventas!K:K)</f>
        <v>4155.8999999999996</v>
      </c>
    </row>
    <row r="15" spans="2:11" x14ac:dyDescent="0.3">
      <c r="B15" s="1" t="s">
        <v>124</v>
      </c>
      <c r="C15" s="1">
        <v>344</v>
      </c>
      <c r="D15" s="1">
        <v>578</v>
      </c>
    </row>
    <row r="16" spans="2:11" x14ac:dyDescent="0.3">
      <c r="B16" s="1" t="s">
        <v>125</v>
      </c>
      <c r="C16" s="1">
        <v>367</v>
      </c>
      <c r="D16" s="1">
        <v>572</v>
      </c>
    </row>
    <row r="17" spans="2:4" x14ac:dyDescent="0.3">
      <c r="B17" s="1" t="s">
        <v>126</v>
      </c>
      <c r="C17" s="1">
        <v>135</v>
      </c>
      <c r="D17" s="1">
        <v>283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2026-09-13T14:44:11Z</dcterms:modified>
</cp:coreProperties>
</file>