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95CB938A-0761-479C-8704-F2B2D6C81535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9" i="5" l="1"/>
  <c r="K8" i="5"/>
  <c r="K7" i="5"/>
  <c r="K6" i="5"/>
  <c r="K5" i="5"/>
  <c r="H6" i="2"/>
  <c r="M11" i="2"/>
  <c r="M10" i="2"/>
  <c r="M9" i="2"/>
  <c r="M8" i="2"/>
  <c r="M7" i="2"/>
  <c r="M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<sst xmlns="http://schemas.openxmlformats.org/spreadsheetml/2006/main" count="221" uniqueCount="142">
  <si>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</si>
  <si>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</si>
  <si>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</si>
  <si>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</si>
  <si>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</si>
  <si>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</si>
  <si>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</si>
  <si>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</si>
  <si>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</si>
  <si>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</si>
  <si>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</si>
  <si>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</si>
  <si>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</si>
  <si>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</si>
  <si>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</si>
  <si>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</si>
  <si>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</si>
  <si>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</si>
  <si>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</si>
  <si>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</si>
  <si>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</si>
  <si>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</si>
  <si>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</si>
  <si>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</si>
  <si>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</si>
  <si>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</si>
  <si>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</si>
  <si>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</si>
  <si>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</si>
  <si>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</si>
  <si>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</si>
  <si>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</si>
  <si>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</si>
  <si>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</si>
  <si>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</si>
  <si>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</si>
  <si>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</si>
  <si>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</si>
  <si>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</si>
  <si>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</si>
  <si>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</si>
  <si>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</si>
  <si>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</si>
  <si>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</si>
  <si>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</si>
  <si>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</si>
  <si>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</si>
  <si>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</si>
  <si>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</si>
  <si>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</si>
  <si>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</si>
  <si>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</si>
  <si>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</si>
  <si>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</si>
  <si>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</si>
  <si>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</si>
  <si>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</si>
  <si>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</si>
  <si>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</si>
  <si>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</si>
  <si>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</si>
  <si>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</si>
  <si>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</si>
  <si>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</si>
  <si>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</si>
  <si>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</si>
  <si>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</si>
  <si>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</si>
  <si>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</si>
  <si>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</si>
  <si>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</si>
  <si>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</si>
  <si>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</si>
  <si>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</si>
  <si>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Mantenimiento Preventivo Redes Q1</t>
  </si>
  <si>
    <t>Mantenimiento</t>
  </si>
  <si>
    <t>VTA-005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</si>
  <si>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</si>
  <si>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</si>
  <si>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</si>
  <si>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</si>
  <si>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</si>
  <si>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</si>
  <si>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</si>
  <si>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</si>
  <si>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</si>
  <si>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</si>
  <si>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</si>
  <si>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</si>
  <si>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</si>
  <si>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SAI Online Doble Conversion 3kVA</t>
  </si>
  <si>
    <t>VTA-012</t>
  </si>
  <si>
    <t>Soporte Tecnico Remoto 24/7</t>
  </si>
  <si>
    <t>Bizum</t>
  </si>
  <si>
    <t>VTA-013</t>
  </si>
  <si>
    <t>Certificados SSL Wildcard EV</t>
  </si>
  <si>
    <t>VTA-014</t>
  </si>
  <si>
    <t>Mantenimiento Servidores Q1</t>
  </si>
  <si>
    <t>VTA-015</t>
  </si>
  <si>
    <t>Configuracion VPN IPsec Corporativa</t>
  </si>
  <si>
    <t>VTA-016</t>
  </si>
  <si>
    <t>Licencia Microsoft 365 Business</t>
  </si>
  <si>
    <t>TABLAS DE APOYO PARA INDICADORES Y GRAFICOS DEL DASHBOARD</t>
  </si>
  <si>
    <t>Nº VENTAS</t>
  </si>
  <si>
    <t>TOTAL FACTURADO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</si>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</sst>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4" fontId="4" fillId="0" borderId="0" xfId="0" applyNumberFormat="1" applyFont="1"/>
    <xf numFmtId="14" fontId="0" fillId="0" borderId="0" xfId="0" applyNumberFormat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9" fillId="8" borderId="1" xfId="0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Rack 2U Dell PowerEdge</c:v>
                </c:pt>
                <c:pt idx="1">
                  <c:v>Endpoint Security EDR (50 Lic)</c:v>
                </c:pt>
                <c:pt idx="2">
                  <c:v>Migracion Cloud Azure &amp; Backup</c:v>
                </c:pt>
                <c:pt idx="3">
                  <c:v>Licencia Microsoft 365 Business</c:v>
                </c:pt>
                <c:pt idx="4">
                  <c:v>Switch Gestionable Cisco Catalyst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2178</c:v>
                </c:pt>
                <c:pt idx="4">
                  <c:v>2153.8000000000002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spPr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>
            <a:gd name="adj" fmla="val 0"/>
          </a:avLst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 fLocksWithSheet="0"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FiltrarPeriodoQ1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FiltrarPeriodo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11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1099820"/>
        </a:xfrm>
        <a:prstGeom prst="roundRect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99060</xdr:colOff>
      <xdr:row>4</xdr:row>
      <xdr:rowOff>22860</xdr:rowOff>
    </xdr:from>
    <xdr:to>
      <xdr:col>2</xdr:col>
      <xdr:colOff>990600</xdr:colOff>
      <xdr:row>7</xdr:row>
      <xdr:rowOff>129540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89560" y="754380"/>
          <a:ext cx="1905000" cy="655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>
              <a:solidFill>
                <a:srgbClr val="888888"/>
              </a:solidFill>
            </a:rPr>
            <a:t>• Ticket Promedio Por Venta Registrada</a:t>
          </a:r>
        </a:p>
      </xdr:txBody>
    </xdr:sp>
    <xdr:clientData fLocksWithSheet="0"/>
  </xdr:twoCellAnchor>
  <xdr:twoCellAnchor>
    <xdr:from>
      <xdr:col>1</xdr:col>
      <xdr:colOff>454660</xdr:colOff>
      <xdr:row>7</xdr:row>
      <xdr:rowOff>83820</xdr:rowOff>
    </xdr:from>
    <xdr:to>
      <xdr:col>2</xdr:col>
      <xdr:colOff>480060</xdr:colOff>
      <xdr:row>9</xdr:row>
      <xdr:rowOff>88900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645160" y="1363980"/>
          <a:ext cx="1038860" cy="3708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1.398 €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11</xdr:row>
      <xdr:rowOff>45720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722120"/>
        </a:xfrm>
        <a:prstGeom prst="roundRect">
          <a:avLst>
            <a:gd name="adj" fmla="val 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 fLocksWithSheet="0"/>
  </xdr:twoCellAnchor>
  <xdr:twoCellAnchor>
    <xdr:from>
      <xdr:col>11</xdr:col>
      <xdr:colOff>1254760</xdr:colOff>
      <xdr:row>2</xdr:row>
      <xdr:rowOff>66040</xdr:rowOff>
    </xdr:from>
    <xdr:to>
      <xdr:col>13</xdr:col>
      <xdr:colOff>477520</xdr:colOff>
      <xdr:row>3</xdr:row>
      <xdr:rowOff>137160</xdr:rowOff>
    </xdr:to>
    <xdr:sp macro="FiltrarPagoTransferenci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94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 fLocksWithSheet="0"/>
  </xdr:twoCellAnchor>
  <xdr:twoCellAnchor>
    <xdr:from>
      <xdr:col>13</xdr:col>
      <xdr:colOff>528320</xdr:colOff>
      <xdr:row>2</xdr:row>
      <xdr:rowOff>66040</xdr:rowOff>
    </xdr:from>
    <xdr:to>
      <xdr:col>14</xdr:col>
      <xdr:colOff>353060</xdr:colOff>
      <xdr:row>3</xdr:row>
      <xdr:rowOff>137160</xdr:rowOff>
    </xdr:to>
    <xdr:sp macro="FiltrarPagoTarje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83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1254760</xdr:colOff>
      <xdr:row>4</xdr:row>
      <xdr:rowOff>5080</xdr:rowOff>
    </xdr:from>
    <xdr:to>
      <xdr:col>13</xdr:col>
      <xdr:colOff>477520</xdr:colOff>
      <xdr:row>5</xdr:row>
      <xdr:rowOff>76200</xdr:rowOff>
    </xdr:to>
    <xdr:sp macro="FiltrarPagoEfectiv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94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528320</xdr:colOff>
      <xdr:row>4</xdr:row>
      <xdr:rowOff>5080</xdr:rowOff>
    </xdr:from>
    <xdr:to>
      <xdr:col>14</xdr:col>
      <xdr:colOff>353060</xdr:colOff>
      <xdr:row>5</xdr:row>
      <xdr:rowOff>76200</xdr:rowOff>
    </xdr:to>
    <xdr:sp macro="FiltrarPagoBizum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83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 fLocksWithSheet="0"/>
  </xdr:twoCellAnchor>
  <xdr:twoCellAnchor>
    <xdr:from>
      <xdr:col>11</xdr:col>
      <xdr:colOff>1280160</xdr:colOff>
      <xdr:row>6</xdr:row>
      <xdr:rowOff>144780</xdr:rowOff>
    </xdr:from>
    <xdr:to>
      <xdr:col>14</xdr:col>
      <xdr:colOff>373380</xdr:colOff>
      <xdr:row>8</xdr:row>
      <xdr:rowOff>83820</xdr:rowOff>
    </xdr:to>
    <xdr:sp macro="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919460" y="1242060"/>
          <a:ext cx="172212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 fLocksWithSheet="0"/>
  </xdr:twoCellAnchor>
  <xdr:twoCellAnchor>
    <xdr:from>
      <xdr:col>1</xdr:col>
      <xdr:colOff>38100</xdr:colOff>
      <xdr:row>12</xdr:row>
      <xdr:rowOff>60960</xdr:rowOff>
    </xdr:from>
    <xdr:to>
      <xdr:col>2</xdr:col>
      <xdr:colOff>904240</xdr:colOff>
      <xdr:row>17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
8 Clientes    👥</a:t>
          </a:r>
        </a:p>
      </xdr:txBody>
    </xdr:sp>
    <xdr:clientData fLocksWithSheet="0"/>
  </xdr:twoCellAnchor>
  <xdr:twoCellAnchor>
    <xdr:from>
      <xdr:col>1</xdr:col>
      <xdr:colOff>38100</xdr:colOff>
      <xdr:row>17</xdr:row>
      <xdr:rowOff>111760</xdr:rowOff>
    </xdr:from>
    <xdr:to>
      <xdr:col>2</xdr:col>
      <xdr:colOff>904240</xdr:colOff>
      <xdr:row>22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
16 Operac.    🛒</a:t>
          </a:r>
        </a:p>
      </xdr:txBody>
    </xdr:sp>
    <xdr:clientData fLocksWithSheet="0"/>
  </xdr:twoCellAnchor>
  <xdr:twoCellAnchor>
    <xdr:from>
      <xdr:col>1</xdr:col>
      <xdr:colOff>38100</xdr:colOff>
      <xdr:row>22</xdr:row>
      <xdr:rowOff>162560</xdr:rowOff>
    </xdr:from>
    <xdr:to>
      <xdr:col>2</xdr:col>
      <xdr:colOff>904240</xdr:colOff>
      <xdr:row>32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23</xdr:row>
      <xdr:rowOff>5080</xdr:rowOff>
    </xdr:from>
    <xdr:to>
      <xdr:col>2</xdr:col>
      <xdr:colOff>853440</xdr:colOff>
      <xdr:row>24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 fLocksWithSheet="0"/>
  </xdr:twoCellAnchor>
  <xdr:twoCellAnchor>
    <xdr:from>
      <xdr:col>1</xdr:col>
      <xdr:colOff>88900</xdr:colOff>
      <xdr:row>24</xdr:row>
      <xdr:rowOff>152400</xdr:rowOff>
    </xdr:from>
    <xdr:to>
      <xdr:col>2</xdr:col>
      <xdr:colOff>853440</xdr:colOff>
      <xdr:row>26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7.250 €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91440</xdr:rowOff>
    </xdr:from>
    <xdr:to>
      <xdr:col>2</xdr:col>
      <xdr:colOff>853440</xdr:colOff>
      <xdr:row>27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5.680 €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30480</xdr:rowOff>
    </xdr:from>
    <xdr:to>
      <xdr:col>2</xdr:col>
      <xdr:colOff>853440</xdr:colOff>
      <xdr:row>29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5.210 €</a:t>
          </a:r>
        </a:p>
      </xdr:txBody>
    </xdr:sp>
    <xdr:clientData fLocksWithSheet="0"/>
  </xdr:twoCellAnchor>
  <xdr:twoCellAnchor>
    <xdr:from>
      <xdr:col>1</xdr:col>
      <xdr:colOff>88900</xdr:colOff>
      <xdr:row>29</xdr:row>
      <xdr:rowOff>152400</xdr:rowOff>
    </xdr:from>
    <xdr:to>
      <xdr:col>2</xdr:col>
      <xdr:colOff>853440</xdr:colOff>
      <xdr:row>31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2.450 €</a:t>
          </a:r>
        </a:p>
      </xdr:txBody>
    </xdr:sp>
    <xdr:clientData fLocksWithSheet="0"/>
  </xdr:twoCellAnchor>
  <xdr:twoCellAnchor>
    <xdr:from>
      <xdr:col>3</xdr:col>
      <xdr:colOff>132080</xdr:colOff>
      <xdr:row>12</xdr:row>
      <xdr:rowOff>60960</xdr:rowOff>
    </xdr:from>
    <xdr:to>
      <xdr:col>5</xdr:col>
      <xdr:colOff>1056640</xdr:colOff>
      <xdr:row>22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LocksWithSheet="0"/>
  </xdr:twoCellAnchor>
  <xdr:twoCellAnchor>
    <xdr:from>
      <xdr:col>3</xdr:col>
      <xdr:colOff>195580</xdr:colOff>
      <xdr:row>12</xdr:row>
      <xdr:rowOff>86360</xdr:rowOff>
    </xdr:from>
    <xdr:to>
      <xdr:col>5</xdr:col>
      <xdr:colOff>993140</xdr:colOff>
      <xdr:row>13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 fLocksWithSheet="0"/>
  </xdr:twoCellAnchor>
  <xdr:twoCellAnchor>
    <xdr:from>
      <xdr:col>3</xdr:col>
      <xdr:colOff>195580</xdr:colOff>
      <xdr:row>14</xdr:row>
      <xdr:rowOff>0</xdr:rowOff>
    </xdr:from>
    <xdr:to>
      <xdr:col>5</xdr:col>
      <xdr:colOff>993140</xdr:colOff>
      <xdr:row>21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86360</xdr:colOff>
      <xdr:row>12</xdr:row>
      <xdr:rowOff>83820</xdr:rowOff>
    </xdr:from>
    <xdr:to>
      <xdr:col>8</xdr:col>
      <xdr:colOff>1010920</xdr:colOff>
      <xdr:row>22</xdr:row>
      <xdr:rowOff>58420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27838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12</xdr:row>
      <xdr:rowOff>86360</xdr:rowOff>
    </xdr:from>
    <xdr:to>
      <xdr:col>8</xdr:col>
      <xdr:colOff>960120</xdr:colOff>
      <xdr:row>14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8</xdr:col>
      <xdr:colOff>883920</xdr:colOff>
      <xdr:row>17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7</xdr:col>
      <xdr:colOff>774700</xdr:colOff>
      <xdr:row>17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3048000"/>
          <a:ext cx="88900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883920</xdr:colOff>
      <xdr:row>19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58420</xdr:colOff>
      <xdr:row>19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556000"/>
          <a:ext cx="14605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12</xdr:row>
      <xdr:rowOff>60960</xdr:rowOff>
    </xdr:from>
    <xdr:to>
      <xdr:col>14</xdr:col>
      <xdr:colOff>495300</xdr:colOff>
      <xdr:row>22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12</xdr:row>
      <xdr:rowOff>86360</xdr:rowOff>
    </xdr:from>
    <xdr:to>
      <xdr:col>14</xdr:col>
      <xdr:colOff>330200</xdr:colOff>
      <xdr:row>13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 fLocksWithSheet="0"/>
  </xdr:twoCellAnchor>
  <xdr:twoCellAnchor>
    <xdr:from>
      <xdr:col>9</xdr:col>
      <xdr:colOff>129540</xdr:colOff>
      <xdr:row>14</xdr:row>
      <xdr:rowOff>0</xdr:rowOff>
    </xdr:from>
    <xdr:to>
      <xdr:col>14</xdr:col>
      <xdr:colOff>393700</xdr:colOff>
      <xdr:row>21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132080</xdr:colOff>
      <xdr:row>23</xdr:row>
      <xdr:rowOff>25400</xdr:rowOff>
    </xdr:from>
    <xdr:to>
      <xdr:col>5</xdr:col>
      <xdr:colOff>1056640</xdr:colOff>
      <xdr:row>32</xdr:row>
      <xdr:rowOff>106680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23164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23</xdr:row>
      <xdr:rowOff>127000</xdr:rowOff>
    </xdr:from>
    <xdr:to>
      <xdr:col>5</xdr:col>
      <xdr:colOff>993140</xdr:colOff>
      <xdr:row>25</xdr:row>
      <xdr:rowOff>15240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3324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 fLocksWithSheet="0"/>
  </xdr:twoCellAnchor>
  <xdr:twoCellAnchor>
    <xdr:from>
      <xdr:col>3</xdr:col>
      <xdr:colOff>195580</xdr:colOff>
      <xdr:row>24</xdr:row>
      <xdr:rowOff>101600</xdr:rowOff>
    </xdr:from>
    <xdr:to>
      <xdr:col>5</xdr:col>
      <xdr:colOff>993140</xdr:colOff>
      <xdr:row>32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23</xdr:row>
      <xdr:rowOff>33020</xdr:rowOff>
    </xdr:from>
    <xdr:to>
      <xdr:col>10</xdr:col>
      <xdr:colOff>411480</xdr:colOff>
      <xdr:row>32</xdr:row>
      <xdr:rowOff>114300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23926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23</xdr:row>
      <xdr:rowOff>96520</xdr:rowOff>
    </xdr:from>
    <xdr:to>
      <xdr:col>10</xdr:col>
      <xdr:colOff>233680</xdr:colOff>
      <xdr:row>24</xdr:row>
      <xdr:rowOff>167640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0276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 fLocksWithSheet="0"/>
  </xdr:twoCellAnchor>
  <xdr:twoCellAnchor>
    <xdr:from>
      <xdr:col>6</xdr:col>
      <xdr:colOff>162560</xdr:colOff>
      <xdr:row>24</xdr:row>
      <xdr:rowOff>101600</xdr:rowOff>
    </xdr:from>
    <xdr:to>
      <xdr:col>10</xdr:col>
      <xdr:colOff>335280</xdr:colOff>
      <xdr:row>32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10</xdr:col>
      <xdr:colOff>690880</xdr:colOff>
      <xdr:row>23</xdr:row>
      <xdr:rowOff>55880</xdr:rowOff>
    </xdr:from>
    <xdr:to>
      <xdr:col>14</xdr:col>
      <xdr:colOff>457200</xdr:colOff>
      <xdr:row>32</xdr:row>
      <xdr:rowOff>137160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42400" y="426212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23</xdr:row>
      <xdr:rowOff>5080</xdr:rowOff>
    </xdr:from>
    <xdr:to>
      <xdr:col>14</xdr:col>
      <xdr:colOff>330200</xdr:colOff>
      <xdr:row>24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 fLocksWithSheet="0"/>
  </xdr:twoCellAnchor>
  <xdr:twoCellAnchor>
    <xdr:from>
      <xdr:col>10</xdr:col>
      <xdr:colOff>817880</xdr:colOff>
      <xdr:row>24</xdr:row>
      <xdr:rowOff>101600</xdr:rowOff>
    </xdr:from>
    <xdr:to>
      <xdr:col>14</xdr:col>
      <xdr:colOff>406400</xdr:colOff>
      <xdr:row>32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38100</xdr:colOff>
      <xdr:row>33</xdr:row>
      <xdr:rowOff>5080</xdr:rowOff>
    </xdr:from>
    <xdr:to>
      <xdr:col>14</xdr:col>
      <xdr:colOff>469900</xdr:colOff>
      <xdr:row>34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 fLocksWithSheet="0"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 fLocksWithSheet="0"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 fLocksWithSheet="0"/>
  </xdr:twoCellAnchor>
  <xdr:twoCellAnchor>
    <xdr:from>
      <xdr:col>7</xdr:col>
      <xdr:colOff>393700</xdr:colOff>
      <xdr:row>0</xdr:row>
      <xdr:rowOff>139700</xdr:rowOff>
    </xdr:from>
    <xdr:to>
      <xdr:col>8</xdr:col>
      <xdr:colOff>756920</xdr:colOff>
      <xdr:row>2</xdr:row>
      <xdr:rowOff>27940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5842000" y="1397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 fLocksWithSheet="0"/>
  </xdr:twoCellAnchor>
  <xdr:twoCellAnchor>
    <xdr:from>
      <xdr:col>7</xdr:col>
      <xdr:colOff>977900</xdr:colOff>
      <xdr:row>1</xdr:row>
      <xdr:rowOff>147320</xdr:rowOff>
    </xdr:from>
    <xdr:to>
      <xdr:col>8</xdr:col>
      <xdr:colOff>299720</xdr:colOff>
      <xdr:row>3</xdr:row>
      <xdr:rowOff>10160</xdr:rowOff>
    </xdr:to>
    <xdr:sp macro="FiltrarCatHardware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4262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8</xdr:col>
      <xdr:colOff>350520</xdr:colOff>
      <xdr:row>1</xdr:row>
      <xdr:rowOff>147320</xdr:rowOff>
    </xdr:from>
    <xdr:to>
      <xdr:col>8</xdr:col>
      <xdr:colOff>960120</xdr:colOff>
      <xdr:row>3</xdr:row>
      <xdr:rowOff>10160</xdr:rowOff>
    </xdr:to>
    <xdr:sp macro="FiltrarCatServici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70866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1010920</xdr:colOff>
      <xdr:row>1</xdr:row>
      <xdr:rowOff>147320</xdr:rowOff>
    </xdr:from>
    <xdr:to>
      <xdr:col>10</xdr:col>
      <xdr:colOff>5080</xdr:colOff>
      <xdr:row>3</xdr:row>
      <xdr:rowOff>10160</xdr:rowOff>
    </xdr:to>
    <xdr:sp macro="FiltrarCatSoftwar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470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/>
  </xdr:twoCellAnchor>
  <xdr:twoCellAnchor>
    <xdr:from>
      <xdr:col>3</xdr:col>
      <xdr:colOff>259080</xdr:colOff>
      <xdr:row>4</xdr:row>
      <xdr:rowOff>53340</xdr:rowOff>
    </xdr:from>
    <xdr:to>
      <xdr:col>5</xdr:col>
      <xdr:colOff>1120140</xdr:colOff>
      <xdr:row>10</xdr:row>
      <xdr:rowOff>99060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289560</xdr:colOff>
      <xdr:row>4</xdr:row>
      <xdr:rowOff>167640</xdr:rowOff>
    </xdr:from>
    <xdr:to>
      <xdr:col>4</xdr:col>
      <xdr:colOff>944880</xdr:colOff>
      <xdr:row>10</xdr:row>
      <xdr:rowOff>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506980" y="899160"/>
          <a:ext cx="982980" cy="92964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800"/>
            <a:t>🛒</a:t>
          </a:r>
        </a:p>
      </xdr:txBody>
    </xdr:sp>
    <xdr:clientData fLocksWithSheet="0"/>
  </xdr:twoCellAnchor>
  <xdr:twoCellAnchor>
    <xdr:from>
      <xdr:col>4</xdr:col>
      <xdr:colOff>708660</xdr:colOff>
      <xdr:row>5</xdr:row>
      <xdr:rowOff>142240</xdr:rowOff>
    </xdr:from>
    <xdr:to>
      <xdr:col>5</xdr:col>
      <xdr:colOff>1135380</xdr:colOff>
      <xdr:row>8</xdr:row>
      <xdr:rowOff>25400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53740" y="105664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22.378 €</a:t>
          </a:r>
        </a:p>
      </xdr:txBody>
    </xdr:sp>
    <xdr:clientData fLocksWithSheet="0"/>
  </xdr:twoCellAnchor>
  <xdr:twoCellAnchor>
    <xdr:from>
      <xdr:col>4</xdr:col>
      <xdr:colOff>716280</xdr:colOff>
      <xdr:row>7</xdr:row>
      <xdr:rowOff>177800</xdr:rowOff>
    </xdr:from>
    <xdr:to>
      <xdr:col>5</xdr:col>
      <xdr:colOff>1143000</xdr:colOff>
      <xdr:row>9</xdr:row>
      <xdr:rowOff>116840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61360" y="145796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 fLocksWithSheet="0"/>
  </xdr:twoCellAnchor>
  <xdr:twoCellAnchor>
    <xdr:from>
      <xdr:col>6</xdr:col>
      <xdr:colOff>111760</xdr:colOff>
      <xdr:row>4</xdr:row>
      <xdr:rowOff>53340</xdr:rowOff>
    </xdr:from>
    <xdr:to>
      <xdr:col>8</xdr:col>
      <xdr:colOff>972820</xdr:colOff>
      <xdr:row>10</xdr:row>
      <xdr:rowOff>99060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88900</xdr:colOff>
      <xdr:row>4</xdr:row>
      <xdr:rowOff>167640</xdr:rowOff>
    </xdr:from>
    <xdr:to>
      <xdr:col>7</xdr:col>
      <xdr:colOff>853440</xdr:colOff>
      <xdr:row>10</xdr:row>
      <xdr:rowOff>50800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7</xdr:col>
      <xdr:colOff>683260</xdr:colOff>
      <xdr:row>5</xdr:row>
      <xdr:rowOff>180340</xdr:rowOff>
    </xdr:from>
    <xdr:to>
      <xdr:col>8</xdr:col>
      <xdr:colOff>728980</xdr:colOff>
      <xdr:row>8</xdr:row>
      <xdr:rowOff>63500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131560" y="109474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18.495 €</a:t>
          </a:r>
        </a:p>
      </xdr:txBody>
    </xdr:sp>
    <xdr:clientData fLocksWithSheet="0"/>
  </xdr:twoCellAnchor>
  <xdr:twoCellAnchor>
    <xdr:from>
      <xdr:col>7</xdr:col>
      <xdr:colOff>706120</xdr:colOff>
      <xdr:row>7</xdr:row>
      <xdr:rowOff>147320</xdr:rowOff>
    </xdr:from>
    <xdr:to>
      <xdr:col>8</xdr:col>
      <xdr:colOff>1082040</xdr:colOff>
      <xdr:row>9</xdr:row>
      <xdr:rowOff>162560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154420" y="1427480"/>
          <a:ext cx="16637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Base Imponible (82,6% Total)</a:t>
          </a:r>
        </a:p>
      </xdr:txBody>
    </xdr:sp>
    <xdr:clientData fLocksWithSheet="0"/>
  </xdr:twoCellAnchor>
  <xdr:twoCellAnchor>
    <xdr:from>
      <xdr:col>8</xdr:col>
      <xdr:colOff>1264920</xdr:colOff>
      <xdr:row>4</xdr:row>
      <xdr:rowOff>45720</xdr:rowOff>
    </xdr:from>
    <xdr:to>
      <xdr:col>11</xdr:col>
      <xdr:colOff>838200</xdr:colOff>
      <xdr:row>10</xdr:row>
      <xdr:rowOff>91440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77724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45720</xdr:colOff>
      <xdr:row>4</xdr:row>
      <xdr:rowOff>106680</xdr:rowOff>
    </xdr:from>
    <xdr:to>
      <xdr:col>10</xdr:col>
      <xdr:colOff>693420</xdr:colOff>
      <xdr:row>10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10</xdr:col>
      <xdr:colOff>586740</xdr:colOff>
      <xdr:row>5</xdr:row>
      <xdr:rowOff>119380</xdr:rowOff>
    </xdr:from>
    <xdr:to>
      <xdr:col>11</xdr:col>
      <xdr:colOff>632460</xdr:colOff>
      <xdr:row>8</xdr:row>
      <xdr:rowOff>2540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8938260" y="103378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3.884 €</a:t>
          </a:r>
        </a:p>
      </xdr:txBody>
    </xdr:sp>
    <xdr:clientData fLocksWithSheet="0"/>
  </xdr:twoCellAnchor>
  <xdr:twoCellAnchor>
    <xdr:from>
      <xdr:col>10</xdr:col>
      <xdr:colOff>510540</xdr:colOff>
      <xdr:row>7</xdr:row>
      <xdr:rowOff>116840</xdr:rowOff>
    </xdr:from>
    <xdr:to>
      <xdr:col>11</xdr:col>
      <xdr:colOff>777240</xdr:colOff>
      <xdr:row>9</xdr:row>
      <xdr:rowOff>132080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8862060" y="1397000"/>
          <a:ext cx="155448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IVA Repercutido (17,4% Cuota)</a:t>
          </a:r>
        </a:p>
      </xdr:txBody>
    </xdr:sp>
    <xdr:clientData fLocksWithSheet="0"/>
  </xdr:twoCellAnchor>
  <xdr:twoCellAnchor>
    <xdr:from>
      <xdr:col>7</xdr:col>
      <xdr:colOff>393700</xdr:colOff>
      <xdr:row>1</xdr:row>
      <xdr:rowOff>147320</xdr:rowOff>
    </xdr:from>
    <xdr:to>
      <xdr:col>7</xdr:col>
      <xdr:colOff>927100</xdr:colOff>
      <xdr:row>3</xdr:row>
      <xdr:rowOff>10160</xdr:rowOff>
    </xdr:to>
    <xdr:sp macro="FiltrarCatTodas" textlink="">
      <xdr:nvSpPr>
        <xdr:cNvPr id="67" name="Btn_Filtro_Todas">
          <a:extLst>
            <a:ext uri="{FF2B5EF4-FFF2-40B4-BE49-F238E27FC236}">
              <a16:creationId xmlns:a16="http://schemas.microsoft.com/office/drawing/2014/main" id="{0F5D9796-8C4D-B232-500F-DE4E3BF0F03F}"/>
            </a:ext>
          </a:extLst>
        </xdr:cNvPr>
        <xdr:cNvSpPr/>
      </xdr:nvSpPr>
      <xdr:spPr>
        <a:xfrm>
          <a:off x="5842000" y="330200"/>
          <a:ext cx="533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49"/>
  <sheetViews>
    <sheetView tabSelected="1" zoomScaleNormal="100" workbookViewId="0">
      <selection activeCell="P6" sqref="P6"/>
    </sheetView>
  </sheetViews>
  <sheetFormatPr baseColWidth="10" defaultRowHeight="14.4" x14ac:dyDescent="0.3"/>
  <cols>
    <col min="1" max="1" width="2.77734375" style="25" customWidth="1"/>
    <col min="2" max="3" width="14.77734375" style="25" customWidth="1"/>
    <col min="4" max="4" width="4.77734375" style="25" customWidth="1"/>
    <col min="5" max="6" width="18.77734375" style="25" customWidth="1"/>
    <col min="7" max="7" width="4.77734375" style="25" customWidth="1"/>
    <col min="8" max="9" width="18.77734375" style="25" customWidth="1"/>
    <col min="10" max="10" width="4.77734375" style="25" customWidth="1"/>
    <col min="11" max="12" width="18.77734375" style="25" customWidth="1"/>
    <col min="13" max="13" width="4.77734375" style="25" customWidth="1"/>
    <col min="14" max="15" width="14.77734375" style="25" customWidth="1"/>
    <col min="16" max="16384" width="11.5546875" style="25"/>
  </cols>
  <sheetData>
    <row r="1" spans="1:29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</sheetData>
  <sheetProtection formatCells="0" formatColumns="0" formatRows="0" insertColumns="0" insertRow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>
      <selection activeCell="H6" sqref="H6:J6"/>
    </sheetView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5" t="s">
        <v>117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2:13" ht="18" customHeight="1" x14ac:dyDescent="0.3">
      <c r="B3" s="36" t="s">
        <v>118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5" spans="2:13" ht="24" customHeight="1" x14ac:dyDescent="0.3">
      <c r="B5" s="37" t="s">
        <v>119</v>
      </c>
      <c r="C5" s="37"/>
      <c r="D5" s="37"/>
      <c r="E5" s="37"/>
      <c r="G5" s="32" t="s">
        <v>125</v>
      </c>
      <c r="H5" s="32"/>
      <c r="I5" s="32"/>
      <c r="J5" s="32"/>
      <c r="L5" s="31" t="s">
        <v>135</v>
      </c>
      <c r="M5" s="31"/>
    </row>
    <row r="6" spans="2:13" x14ac:dyDescent="0.3">
      <c r="B6" s="18" t="s">
        <v>120</v>
      </c>
      <c r="C6" s="30"/>
      <c r="D6" s="30"/>
      <c r="E6" s="30"/>
      <c r="G6" s="18" t="s">
        <v>126</v>
      </c>
      <c r="H6" s="33">
        <f ca="1">TODAY()</f>
        <v>46278</v>
      </c>
      <c r="I6" s="33"/>
      <c r="J6" s="33"/>
      <c r="L6" s="19" t="s">
        <v>136</v>
      </c>
      <c r="M6" s="20">
        <f>SUM(Ventas!L:L)</f>
        <v>23945.900000000005</v>
      </c>
    </row>
    <row r="7" spans="2:13" x14ac:dyDescent="0.3">
      <c r="B7" s="18" t="s">
        <v>121</v>
      </c>
      <c r="C7" s="30"/>
      <c r="D7" s="30"/>
      <c r="E7" s="30"/>
      <c r="G7" s="18" t="s">
        <v>127</v>
      </c>
      <c r="H7" s="30" t="s">
        <v>7</v>
      </c>
      <c r="I7" s="30"/>
      <c r="J7" s="30"/>
      <c r="L7" s="19" t="s">
        <v>137</v>
      </c>
      <c r="M7" s="21">
        <f>SUM(Ventas!I:I)</f>
        <v>19790</v>
      </c>
    </row>
    <row r="8" spans="2:13" x14ac:dyDescent="0.3">
      <c r="B8" s="18" t="s">
        <v>122</v>
      </c>
      <c r="C8" s="30"/>
      <c r="D8" s="30"/>
      <c r="E8" s="30"/>
      <c r="G8" s="18" t="s">
        <v>128</v>
      </c>
      <c r="H8" s="30" t="s">
        <v>129</v>
      </c>
      <c r="I8" s="30"/>
      <c r="J8" s="30"/>
      <c r="L8" s="19" t="s">
        <v>138</v>
      </c>
      <c r="M8" s="21">
        <f>SUM(Ventas!K:K)</f>
        <v>4155.8999999999996</v>
      </c>
    </row>
    <row r="9" spans="2:13" x14ac:dyDescent="0.3">
      <c r="B9" s="18" t="s">
        <v>123</v>
      </c>
      <c r="C9" s="30"/>
      <c r="D9" s="30"/>
      <c r="E9" s="30"/>
      <c r="G9" s="18" t="s">
        <v>130</v>
      </c>
      <c r="H9" s="30" t="s">
        <v>68</v>
      </c>
      <c r="I9" s="30"/>
      <c r="J9" s="30"/>
      <c r="L9" s="19" t="s">
        <v>139</v>
      </c>
      <c r="M9" s="22">
        <f>COUNTA(Ventas!A:A)-1</f>
        <v>16</v>
      </c>
    </row>
    <row r="10" spans="2:13" x14ac:dyDescent="0.3">
      <c r="B10" s="18" t="s">
        <v>124</v>
      </c>
      <c r="C10" s="30"/>
      <c r="D10" s="30"/>
      <c r="E10" s="30"/>
      <c r="G10" s="18" t="s">
        <v>131</v>
      </c>
      <c r="H10" s="34">
        <v>1</v>
      </c>
      <c r="I10" s="34"/>
      <c r="J10" s="34"/>
      <c r="L10" s="19" t="s">
        <v>140</v>
      </c>
      <c r="M10" s="22">
        <f>COUNTA(Clientes!A:A)-1</f>
        <v>8</v>
      </c>
    </row>
    <row r="11" spans="2:13" x14ac:dyDescent="0.3">
      <c r="G11" s="18" t="s">
        <v>132</v>
      </c>
      <c r="H11" s="28">
        <v>250</v>
      </c>
      <c r="I11" s="28"/>
      <c r="J11" s="28"/>
      <c r="L11" s="19" t="s">
        <v>141</v>
      </c>
      <c r="M11" s="23">
        <f>IF(M9&gt;0, M6/M9, 0)</f>
        <v>1496.6187500000003</v>
      </c>
    </row>
    <row r="12" spans="2:13" x14ac:dyDescent="0.3">
      <c r="G12" s="18" t="s">
        <v>133</v>
      </c>
      <c r="H12" s="29">
        <v>0.21</v>
      </c>
      <c r="I12" s="29"/>
      <c r="J12" s="29"/>
    </row>
    <row r="13" spans="2:13" x14ac:dyDescent="0.3">
      <c r="G13" s="18" t="s">
        <v>134</v>
      </c>
      <c r="H13" s="30" t="s">
        <v>65</v>
      </c>
      <c r="I13" s="30"/>
      <c r="J13" s="30"/>
    </row>
  </sheetData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31"/>
  <sheetViews>
    <sheetView workbookViewId="0">
      <selection activeCell="E2" sqref="E2"/>
    </sheetView>
  </sheetViews>
  <sheetFormatPr baseColWidth="10" defaultRowHeight="14.4" x14ac:dyDescent="0.3"/>
  <cols>
    <col min="1" max="1" width="10.33203125" bestFit="1" customWidth="1"/>
    <col min="2" max="2" width="18.5546875" style="7" customWidth="1"/>
    <col min="4" max="4" width="34.109375" bestFit="1" customWidth="1"/>
    <col min="5" max="5" width="33" bestFit="1" customWidth="1"/>
    <col min="6" max="6" width="14" bestFit="1" customWidth="1"/>
    <col min="7" max="7" width="11.44140625" style="10" bestFit="1" customWidth="1"/>
    <col min="8" max="8" width="14.109375" style="13" bestFit="1" customWidth="1"/>
    <col min="9" max="9" width="11.33203125" style="13" bestFit="1" customWidth="1"/>
    <col min="10" max="10" width="6.77734375" style="16" bestFit="1" customWidth="1"/>
    <col min="11" max="11" width="11.88671875" style="13" bestFit="1" customWidth="1"/>
    <col min="12" max="12" width="14.6640625" style="13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8" t="s">
        <v>55</v>
      </c>
      <c r="H1" s="11" t="s">
        <v>56</v>
      </c>
      <c r="I1" s="11" t="s">
        <v>57</v>
      </c>
      <c r="J1" s="14" t="s">
        <v>58</v>
      </c>
      <c r="K1" s="11" t="s">
        <v>59</v>
      </c>
      <c r="L1" s="11" t="s">
        <v>60</v>
      </c>
      <c r="M1" s="5" t="s">
        <v>61</v>
      </c>
    </row>
    <row r="2" spans="1:13" ht="15" x14ac:dyDescent="0.35">
      <c r="A2" s="2" t="s">
        <v>62</v>
      </c>
      <c r="B2" s="26">
        <v>46037</v>
      </c>
      <c r="C2" s="2" t="s">
        <v>7</v>
      </c>
      <c r="D2" s="2" t="s">
        <v>9</v>
      </c>
      <c r="E2" s="2" t="s">
        <v>63</v>
      </c>
      <c r="F2" s="2" t="s">
        <v>64</v>
      </c>
      <c r="G2" s="9">
        <v>2</v>
      </c>
      <c r="H2" s="12">
        <v>1450</v>
      </c>
      <c r="I2" s="12">
        <f t="shared" ref="I2:I17" si="0">G2*H2</f>
        <v>2900</v>
      </c>
      <c r="J2" s="15">
        <v>0.21</v>
      </c>
      <c r="K2" s="12">
        <f t="shared" ref="K2:K17" si="1">I2*J2</f>
        <v>609</v>
      </c>
      <c r="L2" s="12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26">
        <v>46042</v>
      </c>
      <c r="C3" s="2" t="s">
        <v>12</v>
      </c>
      <c r="D3" s="2" t="s">
        <v>14</v>
      </c>
      <c r="E3" s="2" t="s">
        <v>67</v>
      </c>
      <c r="F3" s="2" t="s">
        <v>68</v>
      </c>
      <c r="G3" s="9">
        <v>1</v>
      </c>
      <c r="H3" s="12">
        <v>950</v>
      </c>
      <c r="I3" s="12">
        <f t="shared" si="0"/>
        <v>950</v>
      </c>
      <c r="J3" s="15">
        <v>0.21</v>
      </c>
      <c r="K3" s="12">
        <f t="shared" si="1"/>
        <v>199.5</v>
      </c>
      <c r="L3" s="12">
        <f t="shared" si="2"/>
        <v>1149.5</v>
      </c>
      <c r="M3" s="2" t="s">
        <v>65</v>
      </c>
    </row>
    <row r="4" spans="1:13" ht="15" x14ac:dyDescent="0.35">
      <c r="A4" s="2" t="s">
        <v>69</v>
      </c>
      <c r="B4" s="26">
        <v>46144</v>
      </c>
      <c r="C4" s="2" t="s">
        <v>18</v>
      </c>
      <c r="D4" s="2" t="s">
        <v>20</v>
      </c>
      <c r="E4" s="2" t="s">
        <v>70</v>
      </c>
      <c r="F4" s="2" t="s">
        <v>71</v>
      </c>
      <c r="G4" s="9">
        <v>3</v>
      </c>
      <c r="H4" s="12">
        <v>380</v>
      </c>
      <c r="I4" s="12">
        <f t="shared" si="0"/>
        <v>1140</v>
      </c>
      <c r="J4" s="15">
        <v>0.21</v>
      </c>
      <c r="K4" s="12">
        <f t="shared" si="1"/>
        <v>239.39999999999998</v>
      </c>
      <c r="L4" s="12">
        <f t="shared" si="2"/>
        <v>1379.4</v>
      </c>
      <c r="M4" s="2" t="s">
        <v>72</v>
      </c>
    </row>
    <row r="5" spans="1:13" ht="15" x14ac:dyDescent="0.35">
      <c r="A5" s="2" t="s">
        <v>73</v>
      </c>
      <c r="B5" s="26">
        <v>46071</v>
      </c>
      <c r="C5" s="2" t="s">
        <v>7</v>
      </c>
      <c r="D5" s="2" t="s">
        <v>9</v>
      </c>
      <c r="E5" s="2" t="s">
        <v>74</v>
      </c>
      <c r="F5" s="2" t="s">
        <v>75</v>
      </c>
      <c r="G5" s="9">
        <v>1</v>
      </c>
      <c r="H5" s="12">
        <v>600</v>
      </c>
      <c r="I5" s="12">
        <f t="shared" si="0"/>
        <v>600</v>
      </c>
      <c r="J5" s="15">
        <v>0.21</v>
      </c>
      <c r="K5" s="12">
        <f t="shared" si="1"/>
        <v>126</v>
      </c>
      <c r="L5" s="12">
        <f t="shared" si="2"/>
        <v>726</v>
      </c>
      <c r="M5" s="2" t="s">
        <v>65</v>
      </c>
    </row>
    <row r="6" spans="1:13" ht="15" x14ac:dyDescent="0.35">
      <c r="A6" s="2" t="s">
        <v>76</v>
      </c>
      <c r="B6" s="26">
        <v>46075</v>
      </c>
      <c r="C6" s="2" t="s">
        <v>23</v>
      </c>
      <c r="D6" s="2" t="s">
        <v>25</v>
      </c>
      <c r="E6" s="2" t="s">
        <v>77</v>
      </c>
      <c r="F6" s="2" t="s">
        <v>64</v>
      </c>
      <c r="G6" s="9">
        <v>2</v>
      </c>
      <c r="H6" s="12">
        <v>890</v>
      </c>
      <c r="I6" s="12">
        <f t="shared" si="0"/>
        <v>1780</v>
      </c>
      <c r="J6" s="15">
        <v>0.21</v>
      </c>
      <c r="K6" s="12">
        <f t="shared" si="1"/>
        <v>373.8</v>
      </c>
      <c r="L6" s="12">
        <f t="shared" si="2"/>
        <v>2153.8000000000002</v>
      </c>
      <c r="M6" s="2" t="s">
        <v>65</v>
      </c>
    </row>
    <row r="7" spans="1:13" ht="15" x14ac:dyDescent="0.35">
      <c r="A7" s="2" t="s">
        <v>78</v>
      </c>
      <c r="B7" s="26">
        <v>46078</v>
      </c>
      <c r="C7" s="2" t="s">
        <v>28</v>
      </c>
      <c r="D7" s="2" t="s">
        <v>30</v>
      </c>
      <c r="E7" s="2" t="s">
        <v>79</v>
      </c>
      <c r="F7" s="2" t="s">
        <v>68</v>
      </c>
      <c r="G7" s="9">
        <v>1</v>
      </c>
      <c r="H7" s="12">
        <v>1850</v>
      </c>
      <c r="I7" s="12">
        <f t="shared" si="0"/>
        <v>1850</v>
      </c>
      <c r="J7" s="15">
        <v>0.21</v>
      </c>
      <c r="K7" s="12">
        <f t="shared" si="1"/>
        <v>388.5</v>
      </c>
      <c r="L7" s="12">
        <f t="shared" si="2"/>
        <v>2238.5</v>
      </c>
      <c r="M7" s="2" t="s">
        <v>65</v>
      </c>
    </row>
    <row r="8" spans="1:13" ht="15" x14ac:dyDescent="0.35">
      <c r="A8" s="2" t="s">
        <v>80</v>
      </c>
      <c r="B8" s="26">
        <v>46056</v>
      </c>
      <c r="C8" s="2" t="s">
        <v>34</v>
      </c>
      <c r="D8" s="2" t="s">
        <v>36</v>
      </c>
      <c r="E8" s="2" t="s">
        <v>81</v>
      </c>
      <c r="F8" s="2" t="s">
        <v>71</v>
      </c>
      <c r="G8" s="9">
        <v>50</v>
      </c>
      <c r="H8" s="12">
        <v>45</v>
      </c>
      <c r="I8" s="12">
        <f t="shared" si="0"/>
        <v>2250</v>
      </c>
      <c r="J8" s="15">
        <v>0.21</v>
      </c>
      <c r="K8" s="12">
        <f t="shared" si="1"/>
        <v>472.5</v>
      </c>
      <c r="L8" s="12">
        <f t="shared" si="2"/>
        <v>2722.5</v>
      </c>
      <c r="M8" s="2" t="s">
        <v>72</v>
      </c>
    </row>
    <row r="9" spans="1:13" ht="15" x14ac:dyDescent="0.35">
      <c r="A9" s="2" t="s">
        <v>82</v>
      </c>
      <c r="B9" s="26">
        <v>46145</v>
      </c>
      <c r="C9" s="2" t="s">
        <v>40</v>
      </c>
      <c r="D9" s="2" t="s">
        <v>42</v>
      </c>
      <c r="E9" s="2" t="s">
        <v>83</v>
      </c>
      <c r="F9" s="2" t="s">
        <v>64</v>
      </c>
      <c r="G9" s="9">
        <v>4</v>
      </c>
      <c r="H9" s="12">
        <v>340</v>
      </c>
      <c r="I9" s="12">
        <f t="shared" si="0"/>
        <v>1360</v>
      </c>
      <c r="J9" s="15">
        <v>0.21</v>
      </c>
      <c r="K9" s="12">
        <f t="shared" si="1"/>
        <v>285.59999999999997</v>
      </c>
      <c r="L9" s="12">
        <f t="shared" si="2"/>
        <v>1645.6</v>
      </c>
      <c r="M9" s="2" t="s">
        <v>72</v>
      </c>
    </row>
    <row r="10" spans="1:13" ht="15" x14ac:dyDescent="0.35">
      <c r="A10" s="2" t="s">
        <v>84</v>
      </c>
      <c r="B10" s="26">
        <v>46237</v>
      </c>
      <c r="C10" s="2" t="s">
        <v>45</v>
      </c>
      <c r="D10" s="2" t="s">
        <v>47</v>
      </c>
      <c r="E10" s="2" t="s">
        <v>85</v>
      </c>
      <c r="F10" s="2" t="s">
        <v>68</v>
      </c>
      <c r="G10" s="9">
        <v>1</v>
      </c>
      <c r="H10" s="12">
        <v>1300</v>
      </c>
      <c r="I10" s="12">
        <f t="shared" si="0"/>
        <v>1300</v>
      </c>
      <c r="J10" s="15">
        <v>0.21</v>
      </c>
      <c r="K10" s="12">
        <f t="shared" si="1"/>
        <v>273</v>
      </c>
      <c r="L10" s="12">
        <f t="shared" si="2"/>
        <v>1573</v>
      </c>
      <c r="M10" s="2" t="s">
        <v>65</v>
      </c>
    </row>
    <row r="11" spans="1:13" ht="15" x14ac:dyDescent="0.35">
      <c r="A11" s="2" t="s">
        <v>86</v>
      </c>
      <c r="B11" s="26">
        <v>46359</v>
      </c>
      <c r="C11" s="2" t="s">
        <v>12</v>
      </c>
      <c r="D11" s="2" t="s">
        <v>14</v>
      </c>
      <c r="E11" s="2" t="s">
        <v>87</v>
      </c>
      <c r="F11" s="2" t="s">
        <v>75</v>
      </c>
      <c r="G11" s="9">
        <v>1</v>
      </c>
      <c r="H11" s="12">
        <v>750</v>
      </c>
      <c r="I11" s="12">
        <f t="shared" si="0"/>
        <v>750</v>
      </c>
      <c r="J11" s="15">
        <v>0.21</v>
      </c>
      <c r="K11" s="12">
        <f t="shared" si="1"/>
        <v>157.5</v>
      </c>
      <c r="L11" s="12">
        <f t="shared" si="2"/>
        <v>907.5</v>
      </c>
      <c r="M11" s="2" t="s">
        <v>88</v>
      </c>
    </row>
    <row r="12" spans="1:13" ht="15" x14ac:dyDescent="0.35">
      <c r="A12" s="2" t="s">
        <v>89</v>
      </c>
      <c r="B12" s="26">
        <v>46096</v>
      </c>
      <c r="C12" s="2" t="s">
        <v>18</v>
      </c>
      <c r="D12" s="2" t="s">
        <v>20</v>
      </c>
      <c r="E12" s="2" t="s">
        <v>90</v>
      </c>
      <c r="F12" s="2" t="s">
        <v>64</v>
      </c>
      <c r="G12" s="9">
        <v>1</v>
      </c>
      <c r="H12" s="12">
        <v>920</v>
      </c>
      <c r="I12" s="12">
        <f t="shared" si="0"/>
        <v>920</v>
      </c>
      <c r="J12" s="15">
        <v>0.21</v>
      </c>
      <c r="K12" s="12">
        <f t="shared" si="1"/>
        <v>193.2</v>
      </c>
      <c r="L12" s="12">
        <f t="shared" si="2"/>
        <v>1113.2</v>
      </c>
      <c r="M12" s="2" t="s">
        <v>72</v>
      </c>
    </row>
    <row r="13" spans="1:13" ht="15" x14ac:dyDescent="0.35">
      <c r="A13" s="2" t="s">
        <v>91</v>
      </c>
      <c r="B13" s="26">
        <v>46099</v>
      </c>
      <c r="C13" s="2" t="s">
        <v>23</v>
      </c>
      <c r="D13" s="2" t="s">
        <v>25</v>
      </c>
      <c r="E13" s="2" t="s">
        <v>92</v>
      </c>
      <c r="F13" s="2" t="s">
        <v>68</v>
      </c>
      <c r="G13" s="9">
        <v>1</v>
      </c>
      <c r="H13" s="12">
        <v>800</v>
      </c>
      <c r="I13" s="12">
        <f t="shared" si="0"/>
        <v>800</v>
      </c>
      <c r="J13" s="15">
        <v>0.21</v>
      </c>
      <c r="K13" s="12">
        <f t="shared" si="1"/>
        <v>168</v>
      </c>
      <c r="L13" s="12">
        <f t="shared" si="2"/>
        <v>968</v>
      </c>
      <c r="M13" s="2" t="s">
        <v>93</v>
      </c>
    </row>
    <row r="14" spans="1:13" ht="15" x14ac:dyDescent="0.35">
      <c r="A14" s="2" t="s">
        <v>94</v>
      </c>
      <c r="B14" s="26">
        <v>46103</v>
      </c>
      <c r="C14" s="2" t="s">
        <v>28</v>
      </c>
      <c r="D14" s="2" t="s">
        <v>30</v>
      </c>
      <c r="E14" s="2" t="s">
        <v>95</v>
      </c>
      <c r="F14" s="2" t="s">
        <v>71</v>
      </c>
      <c r="G14" s="9">
        <v>2</v>
      </c>
      <c r="H14" s="12">
        <v>220</v>
      </c>
      <c r="I14" s="12">
        <f t="shared" si="0"/>
        <v>440</v>
      </c>
      <c r="J14" s="15">
        <v>0.21</v>
      </c>
      <c r="K14" s="12">
        <f t="shared" si="1"/>
        <v>92.399999999999991</v>
      </c>
      <c r="L14" s="12">
        <f t="shared" si="2"/>
        <v>532.4</v>
      </c>
      <c r="M14" s="2" t="s">
        <v>72</v>
      </c>
    </row>
    <row r="15" spans="1:13" ht="15" x14ac:dyDescent="0.35">
      <c r="A15" s="2" t="s">
        <v>96</v>
      </c>
      <c r="B15" s="26">
        <v>46107</v>
      </c>
      <c r="C15" s="2" t="s">
        <v>34</v>
      </c>
      <c r="D15" s="2" t="s">
        <v>36</v>
      </c>
      <c r="E15" s="2" t="s">
        <v>97</v>
      </c>
      <c r="F15" s="2" t="s">
        <v>75</v>
      </c>
      <c r="G15" s="9">
        <v>1</v>
      </c>
      <c r="H15" s="12">
        <v>500</v>
      </c>
      <c r="I15" s="12">
        <f t="shared" si="0"/>
        <v>500</v>
      </c>
      <c r="J15" s="15">
        <v>0.21</v>
      </c>
      <c r="K15" s="12">
        <f t="shared" si="1"/>
        <v>105</v>
      </c>
      <c r="L15" s="12">
        <f t="shared" si="2"/>
        <v>605</v>
      </c>
      <c r="M15" s="2" t="s">
        <v>65</v>
      </c>
    </row>
    <row r="16" spans="1:13" ht="15" x14ac:dyDescent="0.35">
      <c r="A16" s="2" t="s">
        <v>98</v>
      </c>
      <c r="B16" s="26">
        <v>46110</v>
      </c>
      <c r="C16" s="2" t="s">
        <v>40</v>
      </c>
      <c r="D16" s="2" t="s">
        <v>42</v>
      </c>
      <c r="E16" s="2" t="s">
        <v>99</v>
      </c>
      <c r="F16" s="2" t="s">
        <v>68</v>
      </c>
      <c r="G16" s="9">
        <v>1</v>
      </c>
      <c r="H16" s="12">
        <v>450</v>
      </c>
      <c r="I16" s="12">
        <f t="shared" si="0"/>
        <v>450</v>
      </c>
      <c r="J16" s="15">
        <v>0.21</v>
      </c>
      <c r="K16" s="12">
        <f t="shared" si="1"/>
        <v>94.5</v>
      </c>
      <c r="L16" s="12">
        <f t="shared" si="2"/>
        <v>544.5</v>
      </c>
      <c r="M16" s="2" t="s">
        <v>93</v>
      </c>
    </row>
    <row r="17" spans="1:13" ht="15" x14ac:dyDescent="0.35">
      <c r="A17" s="2" t="s">
        <v>100</v>
      </c>
      <c r="B17" s="26">
        <v>46112</v>
      </c>
      <c r="C17" s="2" t="s">
        <v>45</v>
      </c>
      <c r="D17" s="2" t="s">
        <v>47</v>
      </c>
      <c r="E17" s="2" t="s">
        <v>101</v>
      </c>
      <c r="F17" s="2" t="s">
        <v>71</v>
      </c>
      <c r="G17" s="9">
        <v>10</v>
      </c>
      <c r="H17" s="12">
        <v>180</v>
      </c>
      <c r="I17" s="12">
        <f t="shared" si="0"/>
        <v>1800</v>
      </c>
      <c r="J17" s="15">
        <v>0.21</v>
      </c>
      <c r="K17" s="12">
        <f t="shared" si="1"/>
        <v>378</v>
      </c>
      <c r="L17" s="12">
        <f t="shared" si="2"/>
        <v>2178</v>
      </c>
      <c r="M17" s="2" t="s">
        <v>72</v>
      </c>
    </row>
    <row r="18" spans="1:13" x14ac:dyDescent="0.3">
      <c r="B18" s="27"/>
    </row>
    <row r="19" spans="1:13" x14ac:dyDescent="0.3">
      <c r="B19" s="27"/>
    </row>
    <row r="20" spans="1:13" x14ac:dyDescent="0.3">
      <c r="B20" s="27"/>
    </row>
    <row r="21" spans="1:13" x14ac:dyDescent="0.3">
      <c r="B21" s="27"/>
    </row>
    <row r="22" spans="1:13" x14ac:dyDescent="0.3">
      <c r="B22" s="27"/>
    </row>
    <row r="23" spans="1:13" x14ac:dyDescent="0.3">
      <c r="B23" s="27"/>
    </row>
    <row r="24" spans="1:13" x14ac:dyDescent="0.3">
      <c r="B24" s="27"/>
    </row>
    <row r="25" spans="1:13" x14ac:dyDescent="0.3">
      <c r="B25" s="27"/>
    </row>
    <row r="26" spans="1:13" x14ac:dyDescent="0.3">
      <c r="B26" s="27"/>
    </row>
    <row r="27" spans="1:13" x14ac:dyDescent="0.3">
      <c r="B27" s="27"/>
    </row>
    <row r="28" spans="1:13" x14ac:dyDescent="0.3">
      <c r="B28" s="27"/>
    </row>
    <row r="29" spans="1:13" x14ac:dyDescent="0.3">
      <c r="B29" s="27"/>
    </row>
    <row r="30" spans="1:13" x14ac:dyDescent="0.3">
      <c r="B30" s="27"/>
    </row>
    <row r="31" spans="1:13" x14ac:dyDescent="0.3">
      <c r="B31" s="27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8" t="s">
        <v>102</v>
      </c>
      <c r="C2" s="38"/>
      <c r="D2" s="38"/>
      <c r="E2" s="38"/>
      <c r="F2" s="38"/>
      <c r="G2" s="38"/>
      <c r="H2" s="38"/>
      <c r="I2" s="38"/>
      <c r="J2" s="38"/>
      <c r="K2" s="38"/>
    </row>
    <row r="4" spans="2:11" x14ac:dyDescent="0.3">
      <c r="B4" s="17" t="s">
        <v>54</v>
      </c>
      <c r="C4" s="17" t="s">
        <v>103</v>
      </c>
      <c r="D4" s="17" t="s">
        <v>104</v>
      </c>
      <c r="F4" s="17" t="s">
        <v>61</v>
      </c>
      <c r="G4" s="17" t="s">
        <v>103</v>
      </c>
      <c r="H4" s="17" t="s">
        <v>104</v>
      </c>
      <c r="J4" s="17" t="s">
        <v>53</v>
      </c>
      <c r="K4" s="17" t="s">
        <v>104</v>
      </c>
    </row>
    <row r="5" spans="2:11" x14ac:dyDescent="0.3">
      <c r="B5" t="s">
        <v>64</v>
      </c>
      <c r="C5">
        <f>COUNTIF(Ventas!F:F, B5)</f>
        <v>4</v>
      </c>
      <c r="D5" s="13">
        <f>SUMIF(Ventas!F:F, B5, Ventas!L:L)</f>
        <v>8421.6</v>
      </c>
      <c r="F5" t="s">
        <v>65</v>
      </c>
      <c r="G5">
        <f>COUNTIF(Ventas!M:M, F5)</f>
        <v>7</v>
      </c>
      <c r="H5" s="13">
        <f>SUMIF(Ventas!M:M, F5, Ventas!L:L)</f>
        <v>11954.8</v>
      </c>
      <c r="J5" t="s">
        <v>63</v>
      </c>
      <c r="K5" s="13">
        <f>SUMIF(Ventas!E:E, J5, Ventas!L:L)</f>
        <v>3509</v>
      </c>
    </row>
    <row r="6" spans="2:11" x14ac:dyDescent="0.3">
      <c r="B6" t="s">
        <v>68</v>
      </c>
      <c r="C6">
        <f>COUNTIF(Ventas!F:F, B6)</f>
        <v>5</v>
      </c>
      <c r="D6" s="13">
        <f>SUMIF(Ventas!F:F, B6, Ventas!L:L)</f>
        <v>6473.5</v>
      </c>
      <c r="F6" t="s">
        <v>72</v>
      </c>
      <c r="G6">
        <f>COUNTIF(Ventas!M:M, F6)</f>
        <v>6</v>
      </c>
      <c r="H6" s="13">
        <f>SUMIF(Ventas!M:M, F6, Ventas!L:L)</f>
        <v>9571.0999999999985</v>
      </c>
      <c r="J6" t="s">
        <v>81</v>
      </c>
      <c r="K6" s="13">
        <f>SUMIF(Ventas!E:E, J6, Ventas!L:L)</f>
        <v>2722.5</v>
      </c>
    </row>
    <row r="7" spans="2:11" x14ac:dyDescent="0.3">
      <c r="B7" t="s">
        <v>71</v>
      </c>
      <c r="C7">
        <f>COUNTIF(Ventas!F:F, B7)</f>
        <v>4</v>
      </c>
      <c r="D7" s="13">
        <f>SUMIF(Ventas!F:F, B7, Ventas!L:L)</f>
        <v>6812.2999999999993</v>
      </c>
      <c r="F7" t="s">
        <v>88</v>
      </c>
      <c r="G7">
        <f>COUNTIF(Ventas!M:M, F7)</f>
        <v>1</v>
      </c>
      <c r="H7" s="13">
        <f>SUMIF(Ventas!M:M, F7, Ventas!L:L)</f>
        <v>907.5</v>
      </c>
      <c r="J7" t="s">
        <v>79</v>
      </c>
      <c r="K7" s="13">
        <f>SUMIF(Ventas!E:E, J7, Ventas!L:L)</f>
        <v>2238.5</v>
      </c>
    </row>
    <row r="8" spans="2:11" x14ac:dyDescent="0.3">
      <c r="B8" t="s">
        <v>75</v>
      </c>
      <c r="C8">
        <f>COUNTIF(Ventas!F:F, B8)</f>
        <v>3</v>
      </c>
      <c r="D8" s="13">
        <f>SUMIF(Ventas!F:F, B8, Ventas!L:L)</f>
        <v>2238.5</v>
      </c>
      <c r="F8" t="s">
        <v>93</v>
      </c>
      <c r="G8">
        <f>COUNTIF(Ventas!M:M, F8)</f>
        <v>2</v>
      </c>
      <c r="H8" s="13">
        <f>SUMIF(Ventas!M:M, F8, Ventas!L:L)</f>
        <v>1512.5</v>
      </c>
      <c r="J8" t="s">
        <v>101</v>
      </c>
      <c r="K8" s="13">
        <f>SUMIF(Ventas!E:E, J8, Ventas!L:L)</f>
        <v>2178</v>
      </c>
    </row>
    <row r="9" spans="2:11" x14ac:dyDescent="0.3">
      <c r="J9" t="s">
        <v>77</v>
      </c>
      <c r="K9" s="13">
        <f>SUMIF(Ventas!E:E, J9, Ventas!L:L)</f>
        <v>2153.8000000000002</v>
      </c>
    </row>
    <row r="12" spans="2:11" x14ac:dyDescent="0.3">
      <c r="B12" s="17" t="s">
        <v>105</v>
      </c>
      <c r="C12" s="17" t="s">
        <v>106</v>
      </c>
      <c r="D12" s="17" t="s">
        <v>107</v>
      </c>
      <c r="F12" t="s">
        <v>113</v>
      </c>
      <c r="G12" t="s">
        <v>114</v>
      </c>
    </row>
    <row r="13" spans="2:11" x14ac:dyDescent="0.3">
      <c r="B13" t="s">
        <v>108</v>
      </c>
      <c r="C13">
        <v>130</v>
      </c>
      <c r="D13">
        <v>212</v>
      </c>
      <c r="F13" t="s">
        <v>115</v>
      </c>
      <c r="G13">
        <f>SUM(Ventas!I:I)</f>
        <v>19790</v>
      </c>
    </row>
    <row r="14" spans="2:11" x14ac:dyDescent="0.3">
      <c r="B14" t="s">
        <v>109</v>
      </c>
      <c r="C14">
        <v>311</v>
      </c>
      <c r="D14">
        <v>552</v>
      </c>
      <c r="F14" t="s">
        <v>116</v>
      </c>
      <c r="G14">
        <f>SUM(Ventas!K:K)</f>
        <v>4155.8999999999996</v>
      </c>
    </row>
    <row r="15" spans="2:11" x14ac:dyDescent="0.3">
      <c r="B15" t="s">
        <v>110</v>
      </c>
      <c r="C15">
        <v>344</v>
      </c>
      <c r="D15">
        <v>578</v>
      </c>
    </row>
    <row r="16" spans="2:11" x14ac:dyDescent="0.3">
      <c r="B16" t="s">
        <v>111</v>
      </c>
      <c r="C16">
        <v>367</v>
      </c>
      <c r="D16">
        <v>572</v>
      </c>
    </row>
    <row r="17" spans="2:4" x14ac:dyDescent="0.3">
      <c r="B17" t="s">
        <v>112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2026-09-13T15:08:24Z</dcterms:created>
  <dcterms:modified xsi:type="dcterms:W3CDTF">2026-09-13T17:14:53Z</dcterms:modified>
</cp:coreProperties>
</file>