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8_{2CF1A575-F6A3-40C3-9B65-861DBB61095C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<sst xmlns="http://schemas.openxmlformats.org/spreadsheetml/2006/main" count="236" uniqueCount="159">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</sst>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5" fillId="4" borderId="0" xfId="0" applyFont="1" applyFill="1" applyAlignment="1">
      <alignment horizontal="center"/>
    </xf>
    <xf numFmtId="0" fontId="1" fillId="5" borderId="0" xfId="0" applyFont="1" applyFill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8" fillId="0" borderId="0" xfId="0" applyFont="1"/>
    <xf numFmtId="0" fontId="9" fillId="8" borderId="1" xfId="0" applyFont="1" applyFill="1" applyBorder="1"/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2" fillId="4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152400</xdr:rowOff>
    </xdr:from>
    <xdr:to>
      <xdr:col>11</xdr:col>
      <xdr:colOff>965200</xdr:colOff>
      <xdr:row>6</xdr:row>
      <xdr:rowOff>7620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52400"/>
          <a:ext cx="8255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/>
  </xdr:twoCellAnchor>
  <xdr:twoCellAnchor>
    <xdr:from>
      <xdr:col>4</xdr:col>
      <xdr:colOff>782320</xdr:colOff>
      <xdr:row>1</xdr:row>
      <xdr:rowOff>45720</xdr:rowOff>
    </xdr:from>
    <xdr:to>
      <xdr:col>8</xdr:col>
      <xdr:colOff>1036320</xdr:colOff>
      <xdr:row>3</xdr:row>
      <xdr:rowOff>86360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327400" y="228600"/>
          <a:ext cx="4445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600" b="1">
              <a:solidFill>
                <a:srgbClr val="FFFFFF"/>
              </a:solidFill>
              <a:latin typeface="Segoe UI" panose="020B0502040204020203" pitchFamily="34" charset="0"/>
            </a:rPr>
            <a:t>Dashboard - Gestión Comercial y Ventas</a:t>
          </a:r>
        </a:p>
      </xdr:txBody>
    </xdr:sp>
    <xdr:clientData/>
  </xdr:twoCellAnchor>
  <xdr:twoCellAnchor>
    <xdr:from>
      <xdr:col>4</xdr:col>
      <xdr:colOff>782320</xdr:colOff>
      <xdr:row>3</xdr:row>
      <xdr:rowOff>86360</xdr:rowOff>
    </xdr:from>
    <xdr:to>
      <xdr:col>8</xdr:col>
      <xdr:colOff>1036320</xdr:colOff>
      <xdr:row>5</xdr:row>
      <xdr:rowOff>50800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D147AFEB-6D96-1DBD-86CF-A780C8684A57}"/>
            </a:ext>
          </a:extLst>
        </xdr:cNvPr>
        <xdr:cNvSpPr txBox="1"/>
      </xdr:nvSpPr>
      <xdr:spPr>
        <a:xfrm>
          <a:off x="3327400" y="635000"/>
          <a:ext cx="4445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>
              <a:solidFill>
                <a:srgbClr val="C0C0C0"/>
              </a:solidFill>
              <a:latin typeface="Segoe UI" panose="020B0502040204020203" pitchFamily="34" charset="0"/>
            </a:rPr>
            <a:t>Indicadores Clave y Rendimiento Transaccional en Tiempo Real</a:t>
          </a:r>
        </a:p>
      </xdr:txBody>
    </xdr:sp>
    <xdr:clientData/>
  </xdr:twoCellAnchor>
  <xdr:twoCellAnchor>
    <xdr:from>
      <xdr:col>8</xdr:col>
      <xdr:colOff>439420</xdr:colOff>
      <xdr:row>1</xdr:row>
      <xdr:rowOff>45720</xdr:rowOff>
    </xdr:from>
    <xdr:to>
      <xdr:col>11</xdr:col>
      <xdr:colOff>774700</xdr:colOff>
      <xdr:row>2</xdr:row>
      <xdr:rowOff>142240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7175500" y="228600"/>
          <a:ext cx="32385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/>
  </xdr:twoCellAnchor>
  <xdr:twoCellAnchor>
    <xdr:from>
      <xdr:col>8</xdr:col>
      <xdr:colOff>439420</xdr:colOff>
      <xdr:row>3</xdr:row>
      <xdr:rowOff>10160</xdr:rowOff>
    </xdr:from>
    <xdr:to>
      <xdr:col>8</xdr:col>
      <xdr:colOff>1226820</xdr:colOff>
      <xdr:row>4</xdr:row>
      <xdr:rowOff>157480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71755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/>
  </xdr:twoCellAnchor>
  <xdr:twoCellAnchor>
    <xdr:from>
      <xdr:col>8</xdr:col>
      <xdr:colOff>1137920</xdr:colOff>
      <xdr:row>3</xdr:row>
      <xdr:rowOff>10160</xdr:rowOff>
    </xdr:from>
    <xdr:to>
      <xdr:col>10</xdr:col>
      <xdr:colOff>309880</xdr:colOff>
      <xdr:row>4</xdr:row>
      <xdr:rowOff>157480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874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10</xdr:col>
      <xdr:colOff>411480</xdr:colOff>
      <xdr:row>3</xdr:row>
      <xdr:rowOff>10160</xdr:rowOff>
    </xdr:from>
    <xdr:to>
      <xdr:col>10</xdr:col>
      <xdr:colOff>1198880</xdr:colOff>
      <xdr:row>4</xdr:row>
      <xdr:rowOff>157480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763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11</xdr:col>
      <xdr:colOff>12700</xdr:colOff>
      <xdr:row>3</xdr:row>
      <xdr:rowOff>10160</xdr:rowOff>
    </xdr:from>
    <xdr:to>
      <xdr:col>11</xdr:col>
      <xdr:colOff>800100</xdr:colOff>
      <xdr:row>4</xdr:row>
      <xdr:rowOff>157480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652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1.398 €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
(82,6% Total)</a:t>
          </a:r>
        </a:p>
      </xdr:txBody>
    </xdr:sp>
    <xdr:clientData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
(17,4% Cuota)</a:t>
          </a:r>
        </a:p>
      </xdr:txBody>
    </xdr:sp>
    <xdr:clientData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5.210 €</a:t>
          </a:r>
        </a:p>
      </xdr:txBody>
    </xdr:sp>
    <xdr:clientData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2.450 €</a:t>
          </a:r>
        </a:p>
      </xdr:txBody>
    </xdr:sp>
    <xdr:clientData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customWidth="1"/>
    <col min="2" max="3" width="14.77734375" customWidth="1"/>
    <col min="4" max="4" width="4.77734375" customWidth="1"/>
    <col min="5" max="6" width="18.77734375" customWidth="1"/>
    <col min="7" max="7" width="4.77734375" customWidth="1"/>
    <col min="8" max="9" width="18.77734375" customWidth="1"/>
    <col min="10" max="10" width="4.77734375" customWidth="1"/>
    <col min="11" max="12" width="18.77734375" customWidth="1"/>
    <col min="13" max="13" width="4.77734375" customWidth="1"/>
    <col min="14" max="15" width="14.77734375" customWidth="1"/>
  </cols>
  <sheetData>
    <row r="1" spans="1:29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</row>
    <row r="2" spans="1:29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</row>
    <row r="3" spans="1:29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</row>
    <row r="4" spans="1:29" x14ac:dyDescent="0.3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29" x14ac:dyDescent="0.3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29" x14ac:dyDescent="0.3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29" x14ac:dyDescent="0.3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</row>
    <row r="8" spans="1:29" x14ac:dyDescent="0.3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</row>
    <row r="9" spans="1:29" x14ac:dyDescent="0.3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</row>
    <row r="10" spans="1:29" x14ac:dyDescent="0.3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</row>
    <row r="11" spans="1:29" x14ac:dyDescent="0.3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</row>
    <row r="12" spans="1:29" x14ac:dyDescent="0.3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</row>
    <row r="13" spans="1:29" x14ac:dyDescent="0.3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</row>
    <row r="14" spans="1:29" x14ac:dyDescent="0.3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</row>
    <row r="15" spans="1:29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</row>
    <row r="16" spans="1:29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</row>
    <row r="17" spans="1:29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</row>
    <row r="18" spans="1:29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</row>
    <row r="19" spans="1:29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</row>
    <row r="20" spans="1:29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</row>
    <row r="21" spans="1:29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</row>
    <row r="22" spans="1:29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</row>
    <row r="23" spans="1:29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</row>
    <row r="24" spans="1:29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</row>
    <row r="25" spans="1:29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</row>
    <row r="26" spans="1:29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</row>
    <row r="27" spans="1:29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</row>
    <row r="28" spans="1:29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</row>
    <row r="29" spans="1:29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</row>
    <row r="30" spans="1:29" x14ac:dyDescent="0.3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</row>
    <row r="31" spans="1:29" x14ac:dyDescent="0.3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</row>
    <row r="32" spans="1:29" x14ac:dyDescent="0.3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</row>
    <row r="33" spans="1:29" x14ac:dyDescent="0.3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</row>
    <row r="34" spans="1:29" x14ac:dyDescent="0.3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</row>
    <row r="35" spans="1:29" x14ac:dyDescent="0.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</row>
    <row r="36" spans="1:29" x14ac:dyDescent="0.3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</row>
    <row r="37" spans="1:29" x14ac:dyDescent="0.3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</row>
    <row r="38" spans="1:29" x14ac:dyDescent="0.3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</row>
    <row r="39" spans="1:29" x14ac:dyDescent="0.3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</row>
    <row r="40" spans="1:29" x14ac:dyDescent="0.3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</row>
    <row r="41" spans="1:29" x14ac:dyDescent="0.3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</row>
    <row r="42" spans="1:29" x14ac:dyDescent="0.3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</row>
    <row r="43" spans="1:29" x14ac:dyDescent="0.3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</row>
    <row r="44" spans="1:29" x14ac:dyDescent="0.3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</row>
    <row r="45" spans="1:29" x14ac:dyDescent="0.3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</row>
    <row r="46" spans="1:29" x14ac:dyDescent="0.3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</row>
    <row r="47" spans="1:29" x14ac:dyDescent="0.3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</row>
    <row r="48" spans="1:29" x14ac:dyDescent="0.3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</row>
    <row r="49" spans="1:29" x14ac:dyDescent="0.3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</row>
    <row r="50" spans="1:29" x14ac:dyDescent="0.3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20" t="s">
        <v>131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</row>
    <row r="3" spans="2:13" ht="18" customHeight="1" x14ac:dyDescent="0.3">
      <c r="B3" s="21" t="s">
        <v>132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5" spans="2:13" ht="24" customHeight="1" x14ac:dyDescent="0.3">
      <c r="B5" s="22" t="s">
        <v>133</v>
      </c>
      <c r="C5" s="22"/>
      <c r="D5" s="22"/>
      <c r="E5" s="22"/>
      <c r="G5" s="25" t="s">
        <v>142</v>
      </c>
      <c r="H5" s="25"/>
      <c r="I5" s="25"/>
      <c r="J5" s="25"/>
      <c r="L5" s="30" t="s">
        <v>152</v>
      </c>
      <c r="M5" s="30"/>
    </row>
    <row r="6" spans="2:13" x14ac:dyDescent="0.3">
      <c r="B6" s="23" t="s">
        <v>134</v>
      </c>
      <c r="C6" s="24" t="s">
        <v>135</v>
      </c>
      <c r="D6" s="24"/>
      <c r="E6" s="24"/>
      <c r="G6" s="23" t="s">
        <v>143</v>
      </c>
      <c r="H6" s="26">
        <f t="shared" ref="H6:J6" ca="1" si="0">TODAY()</f>
        <v>46278</v>
      </c>
      <c r="I6" s="26"/>
      <c r="J6" s="26"/>
      <c r="L6" s="31" t="s">
        <v>153</v>
      </c>
      <c r="M6" s="32">
        <f>SUM(Ventas!L:L)</f>
        <v>23945.900000000005</v>
      </c>
    </row>
    <row r="7" spans="2:13" x14ac:dyDescent="0.3">
      <c r="B7" s="23" t="s">
        <v>136</v>
      </c>
      <c r="C7" s="24" t="s">
        <v>137</v>
      </c>
      <c r="D7" s="24"/>
      <c r="E7" s="24"/>
      <c r="G7" s="23" t="s">
        <v>144</v>
      </c>
      <c r="H7" s="24" t="s">
        <v>7</v>
      </c>
      <c r="I7" s="24"/>
      <c r="J7" s="24"/>
      <c r="L7" s="31" t="s">
        <v>154</v>
      </c>
      <c r="M7" s="33">
        <f>SUM(Ventas!I:I)</f>
        <v>19790</v>
      </c>
    </row>
    <row r="8" spans="2:13" x14ac:dyDescent="0.3">
      <c r="B8" s="23" t="s">
        <v>138</v>
      </c>
      <c r="C8" s="24">
        <v>915554433</v>
      </c>
      <c r="D8" s="24"/>
      <c r="E8" s="24"/>
      <c r="G8" s="23" t="s">
        <v>145</v>
      </c>
      <c r="H8" s="24" t="s">
        <v>146</v>
      </c>
      <c r="I8" s="24"/>
      <c r="J8" s="24"/>
      <c r="L8" s="31" t="s">
        <v>155</v>
      </c>
      <c r="M8" s="33">
        <f>SUM(Ventas!K:K)</f>
        <v>4155.8999999999996</v>
      </c>
    </row>
    <row r="9" spans="2:13" x14ac:dyDescent="0.3">
      <c r="B9" s="23" t="s">
        <v>139</v>
      </c>
      <c r="C9" s="24" t="s">
        <v>140</v>
      </c>
      <c r="D9" s="24"/>
      <c r="E9" s="24"/>
      <c r="G9" s="23" t="s">
        <v>147</v>
      </c>
      <c r="H9" s="24" t="s">
        <v>64</v>
      </c>
      <c r="I9" s="24"/>
      <c r="J9" s="24"/>
      <c r="L9" s="31" t="s">
        <v>156</v>
      </c>
      <c r="M9" s="34">
        <f>COUNTA(Ventas!A:A)-1</f>
        <v>16</v>
      </c>
    </row>
    <row r="10" spans="2:13" x14ac:dyDescent="0.3">
      <c r="B10" s="23" t="s">
        <v>141</v>
      </c>
      <c r="C10" s="24" t="s">
        <v>11</v>
      </c>
      <c r="D10" s="24"/>
      <c r="E10" s="24"/>
      <c r="G10" s="23" t="s">
        <v>148</v>
      </c>
      <c r="H10" s="27">
        <v>1</v>
      </c>
      <c r="I10" s="27"/>
      <c r="J10" s="27"/>
      <c r="L10" s="31" t="s">
        <v>157</v>
      </c>
      <c r="M10" s="34">
        <f>COUNTA(Clientes!A:A)-1</f>
        <v>8</v>
      </c>
    </row>
    <row r="11" spans="2:13" x14ac:dyDescent="0.3">
      <c r="G11" s="23" t="s">
        <v>149</v>
      </c>
      <c r="H11" s="28">
        <v>2450</v>
      </c>
      <c r="I11" s="28"/>
      <c r="J11" s="28"/>
      <c r="L11" s="31" t="s">
        <v>158</v>
      </c>
      <c r="M11" s="35">
        <f>IF(M9&gt;0, M6/M9, 0)</f>
        <v>1496.6187500000003</v>
      </c>
    </row>
    <row r="12" spans="2:13" x14ac:dyDescent="0.3">
      <c r="G12" s="23" t="s">
        <v>150</v>
      </c>
      <c r="H12" s="29">
        <v>0.21</v>
      </c>
      <c r="I12" s="29"/>
      <c r="J12" s="29"/>
    </row>
    <row r="13" spans="2:13" x14ac:dyDescent="0.3">
      <c r="G13" s="23" t="s">
        <v>151</v>
      </c>
      <c r="H13" s="24" t="s">
        <v>65</v>
      </c>
      <c r="I13" s="24"/>
      <c r="J13" s="24"/>
    </row>
  </sheetData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B2:M2"/>
    <mergeCell ref="B3:M3"/>
    <mergeCell ref="B5:E5"/>
    <mergeCell ref="C6:E6"/>
    <mergeCell ref="C7:E7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bestFit="1" customWidth="1"/>
    <col min="2" max="2" width="11.77734375" style="8" bestFit="1" customWidth="1"/>
    <col min="3" max="3" width="16" bestFit="1" customWidth="1"/>
    <col min="4" max="4" width="34.109375" bestFit="1" customWidth="1"/>
    <col min="5" max="5" width="33" bestFit="1" customWidth="1"/>
    <col min="6" max="6" width="16.88671875" bestFit="1" customWidth="1"/>
    <col min="7" max="7" width="15.88671875" style="11" bestFit="1" customWidth="1"/>
    <col min="8" max="8" width="18.5546875" style="14" bestFit="1" customWidth="1"/>
    <col min="9" max="9" width="15.77734375" style="14" bestFit="1" customWidth="1"/>
    <col min="10" max="10" width="11.21875" style="17" bestFit="1" customWidth="1"/>
    <col min="11" max="11" width="16.33203125" style="14" bestFit="1" customWidth="1"/>
    <col min="12" max="12" width="19.109375" style="14" bestFit="1" customWidth="1"/>
    <col min="13" max="13" width="18.8867187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>G2*H2</f>
        <v>2900</v>
      </c>
      <c r="J2" s="16">
        <v>0.21</v>
      </c>
      <c r="K2" s="13">
        <f>I2*J2</f>
        <v>609</v>
      </c>
      <c r="L2" s="13">
        <f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>G3*H3</f>
        <v>950</v>
      </c>
      <c r="J3" s="16">
        <v>0.21</v>
      </c>
      <c r="K3" s="13">
        <f>I3*J3</f>
        <v>199.5</v>
      </c>
      <c r="L3" s="13">
        <f>I3+K3</f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>G4*H4</f>
        <v>1140</v>
      </c>
      <c r="J4" s="16">
        <v>0.21</v>
      </c>
      <c r="K4" s="13">
        <f>I4*J4</f>
        <v>239.39999999999998</v>
      </c>
      <c r="L4" s="13">
        <f>I4+K4</f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>G5*H5</f>
        <v>600</v>
      </c>
      <c r="J5" s="16">
        <v>0.21</v>
      </c>
      <c r="K5" s="13">
        <f>I5*J5</f>
        <v>126</v>
      </c>
      <c r="L5" s="13">
        <f>I5+K5</f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>G6*H6</f>
        <v>1780</v>
      </c>
      <c r="J6" s="16">
        <v>0.21</v>
      </c>
      <c r="K6" s="13">
        <f>I6*J6</f>
        <v>373.8</v>
      </c>
      <c r="L6" s="13">
        <f>I6+K6</f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>G7*H7</f>
        <v>1850</v>
      </c>
      <c r="J7" s="16">
        <v>0.21</v>
      </c>
      <c r="K7" s="13">
        <f>I7*J7</f>
        <v>388.5</v>
      </c>
      <c r="L7" s="13">
        <f>I7+K7</f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>G8*H8</f>
        <v>2250</v>
      </c>
      <c r="J8" s="16">
        <v>0.21</v>
      </c>
      <c r="K8" s="13">
        <f>I8*J8</f>
        <v>472.5</v>
      </c>
      <c r="L8" s="13">
        <f>I8+K8</f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>G9*H9</f>
        <v>1360</v>
      </c>
      <c r="J9" s="16">
        <v>0.21</v>
      </c>
      <c r="K9" s="13">
        <f>I9*J9</f>
        <v>285.59999999999997</v>
      </c>
      <c r="L9" s="13">
        <f>I9+K9</f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>G10*H10</f>
        <v>1300</v>
      </c>
      <c r="J10" s="16">
        <v>0.21</v>
      </c>
      <c r="K10" s="13">
        <f>I10*J10</f>
        <v>273</v>
      </c>
      <c r="L10" s="13">
        <f>I10+K10</f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>G11*H11</f>
        <v>750</v>
      </c>
      <c r="J11" s="16">
        <v>0.21</v>
      </c>
      <c r="K11" s="13">
        <f>I11*J11</f>
        <v>157.5</v>
      </c>
      <c r="L11" s="13">
        <f>I11+K11</f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>G12*H12</f>
        <v>920</v>
      </c>
      <c r="J12" s="16">
        <v>0.21</v>
      </c>
      <c r="K12" s="13">
        <f>I12*J12</f>
        <v>193.2</v>
      </c>
      <c r="L12" s="13">
        <f>I12+K12</f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>G13*H13</f>
        <v>800</v>
      </c>
      <c r="J13" s="16">
        <v>0.21</v>
      </c>
      <c r="K13" s="13">
        <f>I13*J13</f>
        <v>168</v>
      </c>
      <c r="L13" s="13">
        <f>I13+K13</f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>G14*H14</f>
        <v>440</v>
      </c>
      <c r="J14" s="16">
        <v>0.21</v>
      </c>
      <c r="K14" s="13">
        <f>I14*J14</f>
        <v>92.399999999999991</v>
      </c>
      <c r="L14" s="13">
        <f>I14+K14</f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>G15*H15</f>
        <v>500</v>
      </c>
      <c r="J15" s="16">
        <v>0.21</v>
      </c>
      <c r="K15" s="13">
        <f>I15*J15</f>
        <v>105</v>
      </c>
      <c r="L15" s="13">
        <f>I15+K15</f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>G16*H16</f>
        <v>450</v>
      </c>
      <c r="J16" s="16">
        <v>0.21</v>
      </c>
      <c r="K16" s="13">
        <f>I16*J16</f>
        <v>94.5</v>
      </c>
      <c r="L16" s="13">
        <f>I16+K16</f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>G17*H17</f>
        <v>1800</v>
      </c>
      <c r="J17" s="16">
        <v>0.21</v>
      </c>
      <c r="K17" s="13">
        <f>I17*J17</f>
        <v>378</v>
      </c>
      <c r="L17" s="13">
        <f>I17+K17</f>
        <v>2178</v>
      </c>
      <c r="M17" s="2" t="s">
        <v>73</v>
      </c>
    </row>
  </sheetData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18" t="s">
        <v>111</v>
      </c>
      <c r="C2" s="18"/>
      <c r="D2" s="18"/>
      <c r="E2" s="18"/>
      <c r="F2" s="18"/>
      <c r="G2" s="18"/>
      <c r="H2" s="18"/>
      <c r="I2" s="18"/>
      <c r="J2" s="18"/>
      <c r="K2" s="18"/>
    </row>
    <row r="4" spans="2:11" x14ac:dyDescent="0.3">
      <c r="B4" s="19" t="s">
        <v>54</v>
      </c>
      <c r="C4" s="19" t="s">
        <v>112</v>
      </c>
      <c r="D4" s="19" t="s">
        <v>113</v>
      </c>
      <c r="F4" s="19" t="s">
        <v>61</v>
      </c>
      <c r="G4" s="19" t="s">
        <v>112</v>
      </c>
      <c r="H4" s="19" t="s">
        <v>113</v>
      </c>
      <c r="J4" s="19" t="s">
        <v>53</v>
      </c>
      <c r="K4" s="19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9" t="s">
        <v>119</v>
      </c>
      <c r="C12" s="19" t="s">
        <v>120</v>
      </c>
      <c r="D12" s="19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2026-09-13T11:32:29Z</dcterms:modified>
</cp:coreProperties>
</file>