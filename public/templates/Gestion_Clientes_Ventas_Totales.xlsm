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2E4E97D3-86D4-4D87-968B-400B89EEF904}" xr6:coauthVersionLast="47" xr6:coauthVersionMax="47" xr10:uidLastSave="{00000000-0000-0000-0000-000000000000}"/>
  <bookViews>
    <workbookView xWindow="-108" yWindow="-108" windowWidth="23256" windowHeight="13896" xr2:uid="{385BA2DB-3801-4461-9FBF-15FBA5E26AE1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1" i="2" l="1"/>
  <c r="M10" i="2"/>
  <c r="M9" i="2"/>
  <c r="M8" i="2"/>
  <c r="M7" i="2"/>
  <c r="M6" i="2"/>
  <c r="H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<sst xmlns="http://schemas.openxmlformats.org/spreadsheetml/2006/main" count="232" uniqueCount="156">
  <si>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</si>
  <si>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</si>
  <si>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</si>
  <si>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</si>
  <si>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</si>
  <si>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</si>
  <si>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</si>
  <si>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</si>
  <si>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</si>
  <si>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</si>
  <si>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</si>
  <si>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</si>
  <si>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</si>
  <si>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</si>
  <si>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</si>
  <si>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</si>
  <si>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</si>
  <si>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</si>
  <si>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</si>
  <si>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</si>
  <si>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</si>
  <si>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</si>
  <si>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</si>
  <si>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</si>
  <si>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</si>
  <si>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</si>
  <si>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</si>
  <si>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</si>
  <si>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</si>
  <si>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</si>
  <si>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</si>
  <si>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</si>
  <si>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</si>
  <si>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</si>
  <si>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</si>
  <si>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</si>
  <si>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</si>
  <si>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</si>
  <si>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</si>
  <si>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</si>
  <si>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</si>
  <si>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</si>
  <si>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</si>
  <si>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</si>
  <si>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</si>
  <si>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</si>
  <si>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</si>
  <si>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</si>
  <si>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</si>
  <si>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</si>
  <si>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</si>
  <si>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</si>
  <si>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</si>
  <si>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</si>
  <si>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</si>
  <si>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</si>
  <si>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</si>
  <si>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</si>
  <si>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</si>
  <si>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</si>
  <si>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</si>
  <si>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</si>
  <si>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</si>
  <si>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</si>
  <si>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</si>
  <si>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</si>
  <si>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</si>
  <si>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20/01/2026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</si>
  <si>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</si>
  <si>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</si>
  <si>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</si>
  <si>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</si>
  <si>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</si>
  <si>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</si>
  <si>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</si>
  <si>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18/02/2026</t>
  </si>
  <si>
    <t>Mantenimiento Preventivo Redes Q1</t>
  </si>
  <si>
    <t>Mantenimiento</t>
  </si>
  <si>
    <t>VTA-005</t>
  </si>
  <si>
    <t>22/02/2026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</si>
  <si>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</si>
  <si>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</si>
  <si>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</si>
  <si>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</si>
  <si>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</si>
  <si>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</si>
  <si>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</si>
  <si>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</si>
  <si>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</si>
  <si>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</si>
  <si>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</si>
  <si>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</si>
  <si>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</si>
  <si>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15/03/2026</t>
  </si>
  <si>
    <t>SAI Online Doble Conversion 3kVA</t>
  </si>
  <si>
    <t>VTA-012</t>
  </si>
  <si>
    <t>18/03/2026</t>
  </si>
  <si>
    <t>Soporte Tecnico Remoto 24/7</t>
  </si>
  <si>
    <t>Bizum</t>
  </si>
  <si>
    <t>VTA-013</t>
  </si>
  <si>
    <t>22/03/2026</t>
  </si>
  <si>
    <t>Certificados SSL Wildcard EV</t>
  </si>
  <si>
    <t>VTA-014</t>
  </si>
  <si>
    <t>26/03/2026</t>
  </si>
  <si>
    <t>Mantenimiento Servidores Q1</t>
  </si>
  <si>
    <t>VTA-015</t>
  </si>
  <si>
    <t>29/03/2026</t>
  </si>
  <si>
    <t>Configuracion VPN IPsec Corporativa</t>
  </si>
  <si>
    <t>VTA-016</t>
  </si>
  <si>
    <t>31/03/2026</t>
  </si>
  <si>
    <t>Licencia Microsoft 365 Business</t>
  </si>
  <si>
    <t>TABLAS DE APOYO PARA INDICADORES Y GRAFICOS DEL DASHBOARD</t>
  </si>
  <si>
    <t>Nº VENTAS</t>
  </si>
  <si>
    <t>TOTAL FACTURADO</t>
  </si>
  <si>
    <t>Servidor Dell 2U</t>
  </si>
  <si>
    <t>Endpoint EDR 50L</t>
  </si>
  <si>
    <t>Cloud Azure Migr.</t>
  </si>
  <si>
    <t>Switch Cisco 48p</t>
  </si>
  <si>
    <t>M365 Business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</si>
  <si>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</si>
  <si>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</si>
  <si>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</si>
  <si>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</si>
  <si>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</si>
  <si>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</si>
  <si>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</si>
  <si>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</si>
  <si>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</si>
  <si>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</si>
  <si>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</si>
  <si>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</si>
  <si>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</si>
  <si>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</si>
  <si>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NUEVO CLIENTE (FORMULARIO)</t>
  </si>
  <si>
    <t>NIF / CIF:</t>
  </si>
  <si>
    <t>Razon Social / Nombre:</t>
  </si>
  <si>
    <t>Telefono:</t>
  </si>
  <si>
    <t>Email:</t>
  </si>
  <si>
    <t>Ciudad:</t>
  </si>
  <si>
    <t>NUEVA VENTA (FORMULARIO)</t>
  </si>
  <si>
    <t>Fecha (dd/mm/aaaa):</t>
  </si>
  <si>
    <t>ID o Nombre Cliente:</t>
  </si>
  <si>
    <t>Concepto / Producto:</t>
  </si>
  <si>
    <t>Consultoria Tecnologica</t>
  </si>
  <si>
    <t>Categoria:</t>
  </si>
  <si>
    <t>Cantidad:</t>
  </si>
  <si>
    <t>Precio Unitario (EUR):</t>
  </si>
  <si>
    <t>Tipo IVA (%):</t>
  </si>
  <si>
    <t>Metodo de Pago:</t>
  </si>
  <si>
    <t>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</si>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</sst>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4" fillId="0" borderId="0" xfId="0" applyNumberFormat="1" applyFont="1"/>
    <xf numFmtId="164" fontId="0" fillId="0" borderId="0" xfId="0" applyNumberFormat="1"/>
    <xf numFmtId="165" fontId="3" fillId="3" borderId="0" xfId="0" applyNumberFormat="1" applyFont="1" applyFill="1" applyAlignment="1">
      <alignment horizontal="center"/>
    </xf>
    <xf numFmtId="165" fontId="4" fillId="0" borderId="0" xfId="0" applyNumberFormat="1" applyFont="1"/>
    <xf numFmtId="165" fontId="0" fillId="0" borderId="0" xfId="0" applyNumberFormat="1"/>
    <xf numFmtId="166" fontId="3" fillId="3" borderId="0" xfId="0" applyNumberFormat="1" applyFont="1" applyFill="1" applyAlignment="1">
      <alignment horizontal="center"/>
    </xf>
    <xf numFmtId="166" fontId="4" fillId="0" borderId="0" xfId="0" applyNumberFormat="1" applyFont="1"/>
    <xf numFmtId="166" fontId="0" fillId="0" borderId="0" xfId="0" applyNumberFormat="1"/>
    <xf numFmtId="9" fontId="3" fillId="3" borderId="0" xfId="0" applyNumberFormat="1" applyFont="1" applyFill="1" applyAlignment="1">
      <alignment horizontal="center"/>
    </xf>
    <xf numFmtId="9" fontId="4" fillId="0" borderId="0" xfId="0" applyNumberFormat="1" applyFont="1"/>
    <xf numFmtId="9" fontId="0" fillId="0" borderId="0" xfId="0" applyNumberFormat="1"/>
    <xf numFmtId="0" fontId="1" fillId="5" borderId="0" xfId="0" applyFont="1" applyFill="1"/>
    <xf numFmtId="0" fontId="8" fillId="0" borderId="0" xfId="0" applyFont="1"/>
    <xf numFmtId="0" fontId="10" fillId="0" borderId="0" xfId="0" applyFont="1" applyAlignment="1">
      <alignment vertical="center"/>
    </xf>
    <xf numFmtId="166" fontId="11" fillId="9" borderId="2" xfId="0" applyNumberFormat="1" applyFont="1" applyFill="1" applyBorder="1" applyAlignment="1">
      <alignment horizontal="right"/>
    </xf>
    <xf numFmtId="166" fontId="12" fillId="9" borderId="2" xfId="0" applyNumberFormat="1" applyFont="1" applyFill="1" applyBorder="1" applyAlignment="1">
      <alignment horizontal="right"/>
    </xf>
    <xf numFmtId="165" fontId="12" fillId="9" borderId="2" xfId="0" applyNumberFormat="1" applyFont="1" applyFill="1" applyBorder="1" applyAlignment="1">
      <alignment horizontal="right"/>
    </xf>
    <xf numFmtId="166" fontId="13" fillId="9" borderId="2" xfId="0" applyNumberFormat="1" applyFont="1" applyFill="1" applyBorder="1" applyAlignment="1">
      <alignment horizontal="right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  <xf numFmtId="166" fontId="9" fillId="8" borderId="1" xfId="0" applyNumberFormat="1" applyFont="1" applyFill="1" applyBorder="1"/>
    <xf numFmtId="9" fontId="9" fillId="8" borderId="1" xfId="0" applyNumberFormat="1" applyFont="1" applyFill="1" applyBorder="1"/>
    <xf numFmtId="0" fontId="9" fillId="8" borderId="1" xfId="0" applyFont="1" applyFill="1" applyBorder="1"/>
    <xf numFmtId="0" fontId="2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9" fillId="8" borderId="1" xfId="0" applyNumberFormat="1" applyFont="1" applyFill="1" applyBorder="1"/>
    <xf numFmtId="165" fontId="9" fillId="8" borderId="1" xfId="0" applyNumberFormat="1" applyFont="1" applyFill="1" applyBorder="1"/>
    <xf numFmtId="0" fontId="6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Dell 2U</c:v>
                </c:pt>
                <c:pt idx="1">
                  <c:v>Endpoint EDR 50L</c:v>
                </c:pt>
                <c:pt idx="2">
                  <c:v>Cloud Azure Migr.</c:v>
                </c:pt>
                <c:pt idx="3">
                  <c:v>Switch Cisco 48p</c:v>
                </c:pt>
                <c:pt idx="4">
                  <c:v>M365 Business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2153.8000000000002</c:v>
                </c:pt>
                <c:pt idx="4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D-42F0-B0B3-F2821A078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7967"/>
        <c:axId val="1201698447"/>
      </c:barChart>
      <c:catAx>
        <c:axId val="12016979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8447"/>
        <c:crosses val="autoZero"/>
        <c:auto val="1"/>
        <c:lblAlgn val="ctr"/>
        <c:lblOffset val="100"/>
        <c:noMultiLvlLbl val="0"/>
      </c:catAx>
      <c:valAx>
        <c:axId val="1201698447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crossAx val="12016979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0-4ABE-9BDD-C31706D0E6FC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0-4ABE-9BDD-C31706D0E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2207"/>
        <c:axId val="1201689327"/>
      </c:barChart>
      <c:catAx>
        <c:axId val="1201692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1689327"/>
        <c:crosses val="autoZero"/>
        <c:auto val="1"/>
        <c:lblAlgn val="ctr"/>
        <c:lblOffset val="100"/>
        <c:noMultiLvlLbl val="0"/>
      </c:catAx>
      <c:valAx>
        <c:axId val="12016893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169220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B-4C22-97A5-A0417CD38F38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B-4C22-97A5-A0417CD38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B1-478E-A9D7-767A19DCA69F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B1-478E-A9D7-767A19DCA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5567"/>
        <c:axId val="1201699887"/>
      </c:barChart>
      <c:catAx>
        <c:axId val="12016955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9887"/>
        <c:crosses val="autoZero"/>
        <c:auto val="1"/>
        <c:lblAlgn val="ctr"/>
        <c:lblOffset val="100"/>
        <c:noMultiLvlLbl val="0"/>
      </c:catAx>
      <c:valAx>
        <c:axId val="120169988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2016955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7-4B76-8B7D-8780EC79F0DA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77-4B76-8B7D-8780EC79F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C-41BC-8B1B-DA82FCE4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E-4856-BC81-6D75152C0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jpe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</xdr:colOff>
      <xdr:row>0</xdr:row>
      <xdr:rowOff>152400</xdr:rowOff>
    </xdr:from>
    <xdr:to>
      <xdr:col>11</xdr:col>
      <xdr:colOff>1028700</xdr:colOff>
      <xdr:row>8</xdr:row>
      <xdr:rowOff>22860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71B5662-C1F4-25BE-4AA4-9EF8CDC25A11}"/>
            </a:ext>
          </a:extLst>
        </xdr:cNvPr>
        <xdr:cNvSpPr/>
      </xdr:nvSpPr>
      <xdr:spPr>
        <a:xfrm>
          <a:off x="2286000" y="152400"/>
          <a:ext cx="8382000" cy="13335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111760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4123844-7242-A446-AE3D-0B9375CB1B84}"/>
            </a:ext>
          </a:extLst>
        </xdr:cNvPr>
        <xdr:cNvSpPr/>
      </xdr:nvSpPr>
      <xdr:spPr>
        <a:xfrm>
          <a:off x="228600" y="152400"/>
          <a:ext cx="1879600" cy="50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444444"/>
              </a:solidFill>
            </a:rPr>
            <a:t>• Período    ⚙</a:t>
          </a:r>
        </a:p>
      </xdr:txBody>
    </xdr:sp>
    <xdr:clientData/>
  </xdr:twoCellAnchor>
  <xdr:twoCellAnchor>
    <xdr:from>
      <xdr:col>1</xdr:col>
      <xdr:colOff>114300</xdr:colOff>
      <xdr:row>1</xdr:row>
      <xdr:rowOff>172720</xdr:rowOff>
    </xdr:from>
    <xdr:to>
      <xdr:col>1</xdr:col>
      <xdr:colOff>927100</xdr:colOff>
      <xdr:row>3</xdr:row>
      <xdr:rowOff>60960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88BDC4B5-43C9-E4EE-B8E5-DE764517A99C}"/>
            </a:ext>
          </a:extLst>
        </xdr:cNvPr>
        <xdr:cNvSpPr/>
      </xdr:nvSpPr>
      <xdr:spPr>
        <a:xfrm>
          <a:off x="304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Q1 2026</a:t>
          </a:r>
        </a:p>
      </xdr:txBody>
    </xdr:sp>
    <xdr:clientData/>
  </xdr:twoCellAnchor>
  <xdr:twoCellAnchor>
    <xdr:from>
      <xdr:col>1</xdr:col>
      <xdr:colOff>1003300</xdr:colOff>
      <xdr:row>1</xdr:row>
      <xdr:rowOff>172720</xdr:rowOff>
    </xdr:from>
    <xdr:to>
      <xdr:col>2</xdr:col>
      <xdr:colOff>802640</xdr:colOff>
      <xdr:row>3</xdr:row>
      <xdr:rowOff>60960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EE6068C-50F1-E03B-65B0-48C0B280F02D}"/>
            </a:ext>
          </a:extLst>
        </xdr:cNvPr>
        <xdr:cNvSpPr/>
      </xdr:nvSpPr>
      <xdr:spPr>
        <a:xfrm>
          <a:off x="1193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ACTUAL</a:t>
          </a:r>
        </a:p>
      </xdr:txBody>
    </xdr:sp>
    <xdr:clientData/>
  </xdr:twoCellAnchor>
  <xdr:twoCellAnchor>
    <xdr:from>
      <xdr:col>1</xdr:col>
      <xdr:colOff>38100</xdr:colOff>
      <xdr:row>4</xdr:row>
      <xdr:rowOff>5080</xdr:rowOff>
    </xdr:from>
    <xdr:to>
      <xdr:col>2</xdr:col>
      <xdr:colOff>904240</xdr:colOff>
      <xdr:row>7</xdr:row>
      <xdr:rowOff>91440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8490893E-8F0E-569F-28A2-7DFF276F88FC}"/>
            </a:ext>
          </a:extLst>
        </xdr:cNvPr>
        <xdr:cNvSpPr/>
      </xdr:nvSpPr>
      <xdr:spPr>
        <a:xfrm>
          <a:off x="228600" y="736600"/>
          <a:ext cx="1879600" cy="635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88900</xdr:colOff>
      <xdr:row>4</xdr:row>
      <xdr:rowOff>30480</xdr:rowOff>
    </xdr:from>
    <xdr:to>
      <xdr:col>2</xdr:col>
      <xdr:colOff>218440</xdr:colOff>
      <xdr:row>6</xdr:row>
      <xdr:rowOff>109220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C01A498B-0685-3B36-3006-B0529EF5DDA8}"/>
            </a:ext>
          </a:extLst>
        </xdr:cNvPr>
        <xdr:cNvSpPr txBox="1"/>
      </xdr:nvSpPr>
      <xdr:spPr>
        <a:xfrm>
          <a:off x="279400" y="762000"/>
          <a:ext cx="1143000" cy="44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750">
              <a:solidFill>
                <a:srgbClr val="888888"/>
              </a:solidFill>
            </a:rPr>
            <a:t>• Ticket Promedio
Por Venta Registrada</a:t>
          </a:r>
        </a:p>
      </xdr:txBody>
    </xdr:sp>
    <xdr:clientData/>
  </xdr:twoCellAnchor>
  <xdr:twoCellAnchor>
    <xdr:from>
      <xdr:col>2</xdr:col>
      <xdr:colOff>66040</xdr:colOff>
      <xdr:row>4</xdr:row>
      <xdr:rowOff>55880</xdr:rowOff>
    </xdr:from>
    <xdr:to>
      <xdr:col>2</xdr:col>
      <xdr:colOff>891540</xdr:colOff>
      <xdr:row>6</xdr:row>
      <xdr:rowOff>134620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DE817D02-B8CE-0F79-3A36-0C1AC8DA5074}"/>
            </a:ext>
          </a:extLst>
        </xdr:cNvPr>
        <xdr:cNvSpPr txBox="1"/>
      </xdr:nvSpPr>
      <xdr:spPr>
        <a:xfrm>
          <a:off x="1270000" y="787400"/>
          <a:ext cx="825500" cy="44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300" b="1">
              <a:solidFill>
                <a:srgbClr val="1F2120"/>
              </a:solidFill>
            </a:rPr>
            <a:t>1.398 €</a:t>
          </a:r>
        </a:p>
      </xdr:txBody>
    </xdr:sp>
    <xdr:clientData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7</xdr:row>
      <xdr:rowOff>91440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3EC2F8C9-BADE-DDE5-395C-CE27E2EF8E0D}"/>
            </a:ext>
          </a:extLst>
        </xdr:cNvPr>
        <xdr:cNvSpPr/>
      </xdr:nvSpPr>
      <xdr:spPr>
        <a:xfrm>
          <a:off x="10795000" y="152400"/>
          <a:ext cx="1968500" cy="1219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40640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453D4AD8-F4F5-47E7-9977-3DC1633AA51B}"/>
            </a:ext>
          </a:extLst>
        </xdr:cNvPr>
        <xdr:cNvSpPr txBox="1"/>
      </xdr:nvSpPr>
      <xdr:spPr>
        <a:xfrm>
          <a:off x="108712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F43D4E"/>
              </a:solidFill>
            </a:rPr>
            <a:t>• Canal / Pago</a:t>
          </a:r>
        </a:p>
      </xdr:txBody>
    </xdr:sp>
    <xdr:clientData/>
  </xdr:twoCellAnchor>
  <xdr:twoCellAnchor>
    <xdr:from>
      <xdr:col>11</xdr:col>
      <xdr:colOff>1231900</xdr:colOff>
      <xdr:row>2</xdr:row>
      <xdr:rowOff>66040</xdr:rowOff>
    </xdr:from>
    <xdr:to>
      <xdr:col>13</xdr:col>
      <xdr:colOff>454660</xdr:colOff>
      <xdr:row>3</xdr:row>
      <xdr:rowOff>137160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70809A9D-16FE-D04C-025C-2502290952ED}"/>
            </a:ext>
          </a:extLst>
        </xdr:cNvPr>
        <xdr:cNvSpPr/>
      </xdr:nvSpPr>
      <xdr:spPr>
        <a:xfrm>
          <a:off x="1087120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Transfer.</a:t>
          </a:r>
        </a:p>
      </xdr:txBody>
    </xdr:sp>
    <xdr:clientData/>
  </xdr:twoCellAnchor>
  <xdr:twoCellAnchor>
    <xdr:from>
      <xdr:col>13</xdr:col>
      <xdr:colOff>505460</xdr:colOff>
      <xdr:row>2</xdr:row>
      <xdr:rowOff>66040</xdr:rowOff>
    </xdr:from>
    <xdr:to>
      <xdr:col>14</xdr:col>
      <xdr:colOff>330200</xdr:colOff>
      <xdr:row>3</xdr:row>
      <xdr:rowOff>137160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C508993-9019-7D2A-0A26-64D6F9665D55}"/>
            </a:ext>
          </a:extLst>
        </xdr:cNvPr>
        <xdr:cNvSpPr/>
      </xdr:nvSpPr>
      <xdr:spPr>
        <a:xfrm>
          <a:off x="1176020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Tarjeta</a:t>
          </a:r>
        </a:p>
      </xdr:txBody>
    </xdr:sp>
    <xdr:clientData/>
  </xdr:twoCellAnchor>
  <xdr:twoCellAnchor>
    <xdr:from>
      <xdr:col>11</xdr:col>
      <xdr:colOff>1231900</xdr:colOff>
      <xdr:row>4</xdr:row>
      <xdr:rowOff>5080</xdr:rowOff>
    </xdr:from>
    <xdr:to>
      <xdr:col>13</xdr:col>
      <xdr:colOff>454660</xdr:colOff>
      <xdr:row>5</xdr:row>
      <xdr:rowOff>76200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AA151A73-1BF3-459B-78BA-9F286FCA7DD8}"/>
            </a:ext>
          </a:extLst>
        </xdr:cNvPr>
        <xdr:cNvSpPr/>
      </xdr:nvSpPr>
      <xdr:spPr>
        <a:xfrm>
          <a:off x="1087120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Efectivo</a:t>
          </a:r>
        </a:p>
      </xdr:txBody>
    </xdr:sp>
    <xdr:clientData/>
  </xdr:twoCellAnchor>
  <xdr:twoCellAnchor>
    <xdr:from>
      <xdr:col>13</xdr:col>
      <xdr:colOff>505460</xdr:colOff>
      <xdr:row>4</xdr:row>
      <xdr:rowOff>5080</xdr:rowOff>
    </xdr:from>
    <xdr:to>
      <xdr:col>14</xdr:col>
      <xdr:colOff>330200</xdr:colOff>
      <xdr:row>5</xdr:row>
      <xdr:rowOff>76200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6C7CD883-90B8-F397-A0BA-6AC98E4A1382}"/>
            </a:ext>
          </a:extLst>
        </xdr:cNvPr>
        <xdr:cNvSpPr/>
      </xdr:nvSpPr>
      <xdr:spPr>
        <a:xfrm>
          <a:off x="1176020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Bizum</a:t>
          </a:r>
        </a:p>
      </xdr:txBody>
    </xdr:sp>
    <xdr:clientData/>
  </xdr:twoCellAnchor>
  <xdr:twoCellAnchor>
    <xdr:from>
      <xdr:col>11</xdr:col>
      <xdr:colOff>1155700</xdr:colOff>
      <xdr:row>5</xdr:row>
      <xdr:rowOff>152400</xdr:rowOff>
    </xdr:from>
    <xdr:to>
      <xdr:col>14</xdr:col>
      <xdr:colOff>495300</xdr:colOff>
      <xdr:row>7</xdr:row>
      <xdr:rowOff>91440</xdr:rowOff>
    </xdr:to>
    <xdr:sp macro="IrAPanelControl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5EB20D1-71A0-4B8C-E4DB-90634373132F}"/>
            </a:ext>
          </a:extLst>
        </xdr:cNvPr>
        <xdr:cNvSpPr/>
      </xdr:nvSpPr>
      <xdr:spPr>
        <a:xfrm>
          <a:off x="10795000" y="1066800"/>
          <a:ext cx="1968500" cy="304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📋 IR A REGISTRO / FORMULARIO</a:t>
          </a:r>
        </a:p>
      </xdr:txBody>
    </xdr:sp>
    <xdr:clientData/>
  </xdr:twoCellAnchor>
  <xdr:twoCellAnchor>
    <xdr:from>
      <xdr:col>1</xdr:col>
      <xdr:colOff>38100</xdr:colOff>
      <xdr:row>13</xdr:row>
      <xdr:rowOff>60960</xdr:rowOff>
    </xdr:from>
    <xdr:to>
      <xdr:col>2</xdr:col>
      <xdr:colOff>904240</xdr:colOff>
      <xdr:row>18</xdr:row>
      <xdr:rowOff>10160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E90D16B-9C76-2B1D-14C4-1722F7A689B7}"/>
            </a:ext>
          </a:extLst>
        </xdr:cNvPr>
        <xdr:cNvSpPr/>
      </xdr:nvSpPr>
      <xdr:spPr>
        <a:xfrm>
          <a:off x="228600" y="2438400"/>
          <a:ext cx="1879600" cy="8636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Clientes Activos
8 Clientes    👥</a:t>
          </a:r>
        </a:p>
      </xdr:txBody>
    </xdr:sp>
    <xdr:clientData/>
  </xdr:twoCellAnchor>
  <xdr:twoCellAnchor>
    <xdr:from>
      <xdr:col>1</xdr:col>
      <xdr:colOff>38100</xdr:colOff>
      <xdr:row>18</xdr:row>
      <xdr:rowOff>111760</xdr:rowOff>
    </xdr:from>
    <xdr:to>
      <xdr:col>2</xdr:col>
      <xdr:colOff>904240</xdr:colOff>
      <xdr:row>23</xdr:row>
      <xdr:rowOff>60960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D62BC4D7-AC29-CCFF-0DEC-113DA191FFAF}"/>
            </a:ext>
          </a:extLst>
        </xdr:cNvPr>
        <xdr:cNvSpPr/>
      </xdr:nvSpPr>
      <xdr:spPr>
        <a:xfrm>
          <a:off x="228600" y="3403600"/>
          <a:ext cx="1879600" cy="8636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Ventas Registradas
16 Operac.    🛒</a:t>
          </a:r>
        </a:p>
      </xdr:txBody>
    </xdr:sp>
    <xdr:clientData/>
  </xdr:twoCellAnchor>
  <xdr:twoCellAnchor>
    <xdr:from>
      <xdr:col>1</xdr:col>
      <xdr:colOff>38100</xdr:colOff>
      <xdr:row>23</xdr:row>
      <xdr:rowOff>162560</xdr:rowOff>
    </xdr:from>
    <xdr:to>
      <xdr:col>2</xdr:col>
      <xdr:colOff>904240</xdr:colOff>
      <xdr:row>33</xdr:row>
      <xdr:rowOff>60960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D96EB0A2-20D6-6B6B-3578-5F87DF8F7437}"/>
            </a:ext>
          </a:extLst>
        </xdr:cNvPr>
        <xdr:cNvSpPr/>
      </xdr:nvSpPr>
      <xdr:spPr>
        <a:xfrm>
          <a:off x="228600" y="4368800"/>
          <a:ext cx="1879600" cy="1727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88900</xdr:colOff>
      <xdr:row>24</xdr:row>
      <xdr:rowOff>5080</xdr:rowOff>
    </xdr:from>
    <xdr:to>
      <xdr:col>2</xdr:col>
      <xdr:colOff>853440</xdr:colOff>
      <xdr:row>25</xdr:row>
      <xdr:rowOff>127000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6507F713-BD6C-FD83-6EDD-9AF3CA69829B}"/>
            </a:ext>
          </a:extLst>
        </xdr:cNvPr>
        <xdr:cNvSpPr txBox="1"/>
      </xdr:nvSpPr>
      <xdr:spPr>
        <a:xfrm>
          <a:off x="279400" y="4394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Ventas por Categoría  ★</a:t>
          </a:r>
        </a:p>
      </xdr:txBody>
    </xdr:sp>
    <xdr:clientData/>
  </xdr:twoCellAnchor>
  <xdr:twoCellAnchor>
    <xdr:from>
      <xdr:col>1</xdr:col>
      <xdr:colOff>88900</xdr:colOff>
      <xdr:row>25</xdr:row>
      <xdr:rowOff>152400</xdr:rowOff>
    </xdr:from>
    <xdr:to>
      <xdr:col>2</xdr:col>
      <xdr:colOff>853440</xdr:colOff>
      <xdr:row>27</xdr:row>
      <xdr:rowOff>40640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8A9D605A-014A-C922-990E-8EF81B2C6243}"/>
            </a:ext>
          </a:extLst>
        </xdr:cNvPr>
        <xdr:cNvSpPr txBox="1"/>
      </xdr:nvSpPr>
      <xdr:spPr>
        <a:xfrm>
          <a:off x="279400" y="47244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Hardware  -&gt;  7.250 €</a:t>
          </a:r>
        </a:p>
      </xdr:txBody>
    </xdr:sp>
    <xdr:clientData/>
  </xdr:twoCellAnchor>
  <xdr:twoCellAnchor>
    <xdr:from>
      <xdr:col>1</xdr:col>
      <xdr:colOff>88900</xdr:colOff>
      <xdr:row>27</xdr:row>
      <xdr:rowOff>91440</xdr:rowOff>
    </xdr:from>
    <xdr:to>
      <xdr:col>2</xdr:col>
      <xdr:colOff>853440</xdr:colOff>
      <xdr:row>28</xdr:row>
      <xdr:rowOff>162560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F0224248-522B-3739-54C6-56708FBB4DD6}"/>
            </a:ext>
          </a:extLst>
        </xdr:cNvPr>
        <xdr:cNvSpPr txBox="1"/>
      </xdr:nvSpPr>
      <xdr:spPr>
        <a:xfrm>
          <a:off x="279400" y="50292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Servicios  -&gt;  5.680 €</a:t>
          </a:r>
        </a:p>
      </xdr:txBody>
    </xdr:sp>
    <xdr:clientData/>
  </xdr:twoCellAnchor>
  <xdr:twoCellAnchor>
    <xdr:from>
      <xdr:col>1</xdr:col>
      <xdr:colOff>88900</xdr:colOff>
      <xdr:row>29</xdr:row>
      <xdr:rowOff>30480</xdr:rowOff>
    </xdr:from>
    <xdr:to>
      <xdr:col>2</xdr:col>
      <xdr:colOff>853440</xdr:colOff>
      <xdr:row>30</xdr:row>
      <xdr:rowOff>101600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28F41330-24DE-54C9-D230-CDEEF99F0D34}"/>
            </a:ext>
          </a:extLst>
        </xdr:cNvPr>
        <xdr:cNvSpPr txBox="1"/>
      </xdr:nvSpPr>
      <xdr:spPr>
        <a:xfrm>
          <a:off x="279400" y="53340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Software  -&gt;  5.210 €</a:t>
          </a:r>
        </a:p>
      </xdr:txBody>
    </xdr:sp>
    <xdr:clientData/>
  </xdr:twoCellAnchor>
  <xdr:twoCellAnchor>
    <xdr:from>
      <xdr:col>1</xdr:col>
      <xdr:colOff>88900</xdr:colOff>
      <xdr:row>30</xdr:row>
      <xdr:rowOff>152400</xdr:rowOff>
    </xdr:from>
    <xdr:to>
      <xdr:col>2</xdr:col>
      <xdr:colOff>853440</xdr:colOff>
      <xdr:row>32</xdr:row>
      <xdr:rowOff>40640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4B4A57F3-72F0-440F-3D0E-AB1A046A174D}"/>
            </a:ext>
          </a:extLst>
        </xdr:cNvPr>
        <xdr:cNvSpPr txBox="1"/>
      </xdr:nvSpPr>
      <xdr:spPr>
        <a:xfrm>
          <a:off x="279400" y="5638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Mantenimiento  -&gt;  2.450 €</a:t>
          </a:r>
        </a:p>
      </xdr:txBody>
    </xdr:sp>
    <xdr:clientData/>
  </xdr:twoCellAnchor>
  <xdr:twoCellAnchor>
    <xdr:from>
      <xdr:col>3</xdr:col>
      <xdr:colOff>132080</xdr:colOff>
      <xdr:row>13</xdr:row>
      <xdr:rowOff>60960</xdr:rowOff>
    </xdr:from>
    <xdr:to>
      <xdr:col>5</xdr:col>
      <xdr:colOff>1056640</xdr:colOff>
      <xdr:row>23</xdr:row>
      <xdr:rowOff>35560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451CCFF8-37A5-3E62-3A02-64FDC5DF8638}"/>
            </a:ext>
          </a:extLst>
        </xdr:cNvPr>
        <xdr:cNvSpPr/>
      </xdr:nvSpPr>
      <xdr:spPr>
        <a:xfrm>
          <a:off x="2349500" y="243840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195580</xdr:colOff>
      <xdr:row>13</xdr:row>
      <xdr:rowOff>86360</xdr:rowOff>
    </xdr:from>
    <xdr:to>
      <xdr:col>5</xdr:col>
      <xdr:colOff>993140</xdr:colOff>
      <xdr:row>14</xdr:row>
      <xdr:rowOff>157480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B790AED-4DD3-C372-20A9-33C7A31D38D1}"/>
            </a:ext>
          </a:extLst>
        </xdr:cNvPr>
        <xdr:cNvSpPr txBox="1"/>
      </xdr:nvSpPr>
      <xdr:spPr>
        <a:xfrm>
          <a:off x="2413000" y="246380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Top Productos / Servicios Facturados</a:t>
          </a:r>
        </a:p>
      </xdr:txBody>
    </xdr:sp>
    <xdr:clientData/>
  </xdr:twoCellAnchor>
  <xdr:twoCellAnchor>
    <xdr:from>
      <xdr:col>3</xdr:col>
      <xdr:colOff>195580</xdr:colOff>
      <xdr:row>15</xdr:row>
      <xdr:rowOff>0</xdr:rowOff>
    </xdr:from>
    <xdr:to>
      <xdr:col>5</xdr:col>
      <xdr:colOff>993140</xdr:colOff>
      <xdr:row>22</xdr:row>
      <xdr:rowOff>142240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B0AD42F9-84F8-05DA-37F9-CC38AB7CB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86360</xdr:colOff>
      <xdr:row>13</xdr:row>
      <xdr:rowOff>60960</xdr:rowOff>
    </xdr:from>
    <xdr:to>
      <xdr:col>8</xdr:col>
      <xdr:colOff>1010920</xdr:colOff>
      <xdr:row>23</xdr:row>
      <xdr:rowOff>35560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4E9B2B79-D170-8102-2B63-A7426F7BB4AE}"/>
            </a:ext>
          </a:extLst>
        </xdr:cNvPr>
        <xdr:cNvSpPr/>
      </xdr:nvSpPr>
      <xdr:spPr>
        <a:xfrm>
          <a:off x="5207000" y="243840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162560</xdr:colOff>
      <xdr:row>13</xdr:row>
      <xdr:rowOff>86360</xdr:rowOff>
    </xdr:from>
    <xdr:to>
      <xdr:col>8</xdr:col>
      <xdr:colOff>960120</xdr:colOff>
      <xdr:row>15</xdr:row>
      <xdr:rowOff>127000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BACF8083-670A-65A4-61AC-C23D784A08E9}"/>
            </a:ext>
          </a:extLst>
        </xdr:cNvPr>
        <xdr:cNvSpPr txBox="1"/>
      </xdr:nvSpPr>
      <xdr:spPr>
        <a:xfrm>
          <a:off x="5283200" y="2463800"/>
          <a:ext cx="2413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Segmentación por Tipo de Cliente
Grandes Cuentas vs PYMES</a:t>
          </a:r>
        </a:p>
      </xdr:txBody>
    </xdr:sp>
    <xdr:clientData/>
  </xdr:twoCellAnchor>
  <xdr:twoCellAnchor>
    <xdr:from>
      <xdr:col>6</xdr:col>
      <xdr:colOff>213360</xdr:colOff>
      <xdr:row>16</xdr:row>
      <xdr:rowOff>121920</xdr:rowOff>
    </xdr:from>
    <xdr:to>
      <xdr:col>8</xdr:col>
      <xdr:colOff>883920</xdr:colOff>
      <xdr:row>18</xdr:row>
      <xdr:rowOff>35560</xdr:rowOff>
    </xdr:to>
    <xdr:sp macro="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52BA3610-00FD-EAA7-F4DF-023A08594BEF}"/>
            </a:ext>
          </a:extLst>
        </xdr:cNvPr>
        <xdr:cNvSpPr/>
      </xdr:nvSpPr>
      <xdr:spPr>
        <a:xfrm>
          <a:off x="5334000" y="3048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213360</xdr:colOff>
      <xdr:row>16</xdr:row>
      <xdr:rowOff>121920</xdr:rowOff>
    </xdr:from>
    <xdr:to>
      <xdr:col>7</xdr:col>
      <xdr:colOff>774700</xdr:colOff>
      <xdr:row>18</xdr:row>
      <xdr:rowOff>35560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D7A34C9E-A905-48F1-3E05-82A45D15484D}"/>
            </a:ext>
          </a:extLst>
        </xdr:cNvPr>
        <xdr:cNvSpPr/>
      </xdr:nvSpPr>
      <xdr:spPr>
        <a:xfrm>
          <a:off x="5334000" y="3048000"/>
          <a:ext cx="889000" cy="279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Grandes Cuentas (38%)</a:t>
          </a:r>
        </a:p>
      </xdr:txBody>
    </xdr:sp>
    <xdr:clientData/>
  </xdr:twoCellAnchor>
  <xdr:twoCellAnchor>
    <xdr:from>
      <xdr:col>6</xdr:col>
      <xdr:colOff>213360</xdr:colOff>
      <xdr:row>19</xdr:row>
      <xdr:rowOff>81280</xdr:rowOff>
    </xdr:from>
    <xdr:to>
      <xdr:col>8</xdr:col>
      <xdr:colOff>883920</xdr:colOff>
      <xdr:row>20</xdr:row>
      <xdr:rowOff>177800</xdr:rowOff>
    </xdr:to>
    <xdr:sp macro="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5B881064-3E4A-DF1E-1671-CA8C8DBE20E2}"/>
            </a:ext>
          </a:extLst>
        </xdr:cNvPr>
        <xdr:cNvSpPr/>
      </xdr:nvSpPr>
      <xdr:spPr>
        <a:xfrm>
          <a:off x="5334000" y="3556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213360</xdr:colOff>
      <xdr:row>19</xdr:row>
      <xdr:rowOff>81280</xdr:rowOff>
    </xdr:from>
    <xdr:to>
      <xdr:col>8</xdr:col>
      <xdr:colOff>58420</xdr:colOff>
      <xdr:row>20</xdr:row>
      <xdr:rowOff>177800</xdr:rowOff>
    </xdr:to>
    <xdr:sp macro="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181AC6AA-C7ED-1BE7-BE54-06BBA6EF7817}"/>
            </a:ext>
          </a:extLst>
        </xdr:cNvPr>
        <xdr:cNvSpPr/>
      </xdr:nvSpPr>
      <xdr:spPr>
        <a:xfrm>
          <a:off x="5334000" y="3556000"/>
          <a:ext cx="14605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PYMES &amp; Autónomos (62%)</a:t>
          </a:r>
        </a:p>
      </xdr:txBody>
    </xdr:sp>
    <xdr:clientData/>
  </xdr:twoCellAnchor>
  <xdr:twoCellAnchor>
    <xdr:from>
      <xdr:col>9</xdr:col>
      <xdr:colOff>40640</xdr:colOff>
      <xdr:row>13</xdr:row>
      <xdr:rowOff>60960</xdr:rowOff>
    </xdr:from>
    <xdr:to>
      <xdr:col>14</xdr:col>
      <xdr:colOff>495300</xdr:colOff>
      <xdr:row>23</xdr:row>
      <xdr:rowOff>35560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D46DDF06-0CE0-A0EA-0311-D3FDDE092A25}"/>
            </a:ext>
          </a:extLst>
        </xdr:cNvPr>
        <xdr:cNvSpPr/>
      </xdr:nvSpPr>
      <xdr:spPr>
        <a:xfrm>
          <a:off x="8064500" y="2438400"/>
          <a:ext cx="4699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129540</xdr:colOff>
      <xdr:row>13</xdr:row>
      <xdr:rowOff>86360</xdr:rowOff>
    </xdr:from>
    <xdr:to>
      <xdr:col>14</xdr:col>
      <xdr:colOff>330200</xdr:colOff>
      <xdr:row>14</xdr:row>
      <xdr:rowOff>157480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2B39AD3C-75A7-87F0-418E-637B3F7C6ECE}"/>
            </a:ext>
          </a:extLst>
        </xdr:cNvPr>
        <xdr:cNvSpPr txBox="1"/>
      </xdr:nvSpPr>
      <xdr:spPr>
        <a:xfrm>
          <a:off x="8153400" y="2463800"/>
          <a:ext cx="444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Evolución de Ventas por Período y Modalidad de Pago</a:t>
          </a:r>
        </a:p>
      </xdr:txBody>
    </xdr:sp>
    <xdr:clientData/>
  </xdr:twoCellAnchor>
  <xdr:twoCellAnchor>
    <xdr:from>
      <xdr:col>9</xdr:col>
      <xdr:colOff>129540</xdr:colOff>
      <xdr:row>15</xdr:row>
      <xdr:rowOff>0</xdr:rowOff>
    </xdr:from>
    <xdr:to>
      <xdr:col>14</xdr:col>
      <xdr:colOff>393700</xdr:colOff>
      <xdr:row>22</xdr:row>
      <xdr:rowOff>142240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1BE10C2A-B14E-696A-E7AC-4B4EB36AA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132080</xdr:colOff>
      <xdr:row>23</xdr:row>
      <xdr:rowOff>162560</xdr:rowOff>
    </xdr:from>
    <xdr:to>
      <xdr:col>5</xdr:col>
      <xdr:colOff>1056640</xdr:colOff>
      <xdr:row>33</xdr:row>
      <xdr:rowOff>60960</xdr:rowOff>
    </xdr:to>
    <xdr:sp macro="" textlink="">
      <xdr:nvSpPr>
        <xdr:cNvPr id="55" name="Rectángulo: esquinas redondeadas 54">
          <a:extLst>
            <a:ext uri="{FF2B5EF4-FFF2-40B4-BE49-F238E27FC236}">
              <a16:creationId xmlns:a16="http://schemas.microsoft.com/office/drawing/2014/main" id="{13DAAB3B-6C0A-2F25-EDF9-923FE9B2D106}"/>
            </a:ext>
          </a:extLst>
        </xdr:cNvPr>
        <xdr:cNvSpPr/>
      </xdr:nvSpPr>
      <xdr:spPr>
        <a:xfrm>
          <a:off x="2349500" y="4368800"/>
          <a:ext cx="2540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195580</xdr:colOff>
      <xdr:row>24</xdr:row>
      <xdr:rowOff>5080</xdr:rowOff>
    </xdr:from>
    <xdr:to>
      <xdr:col>5</xdr:col>
      <xdr:colOff>993140</xdr:colOff>
      <xdr:row>25</xdr:row>
      <xdr:rowOff>76200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9C8993A0-4579-1F37-55B1-493C3BFDD3ED}"/>
            </a:ext>
          </a:extLst>
        </xdr:cNvPr>
        <xdr:cNvSpPr txBox="1"/>
      </xdr:nvSpPr>
      <xdr:spPr>
        <a:xfrm>
          <a:off x="2413000" y="439420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Distribución por Forma de Pago</a:t>
          </a:r>
        </a:p>
      </xdr:txBody>
    </xdr:sp>
    <xdr:clientData/>
  </xdr:twoCellAnchor>
  <xdr:twoCellAnchor>
    <xdr:from>
      <xdr:col>3</xdr:col>
      <xdr:colOff>195580</xdr:colOff>
      <xdr:row>25</xdr:row>
      <xdr:rowOff>101600</xdr:rowOff>
    </xdr:from>
    <xdr:to>
      <xdr:col>5</xdr:col>
      <xdr:colOff>993140</xdr:colOff>
      <xdr:row>33</xdr:row>
      <xdr:rowOff>10160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CED79A2E-DCD5-068B-C383-5A875F85E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86360</xdr:colOff>
      <xdr:row>23</xdr:row>
      <xdr:rowOff>162560</xdr:rowOff>
    </xdr:from>
    <xdr:to>
      <xdr:col>10</xdr:col>
      <xdr:colOff>411480</xdr:colOff>
      <xdr:row>33</xdr:row>
      <xdr:rowOff>60960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9AA5742C-0782-1281-A010-49A3F9D8D1E1}"/>
            </a:ext>
          </a:extLst>
        </xdr:cNvPr>
        <xdr:cNvSpPr/>
      </xdr:nvSpPr>
      <xdr:spPr>
        <a:xfrm>
          <a:off x="5207000" y="4368800"/>
          <a:ext cx="3556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162560</xdr:colOff>
      <xdr:row>24</xdr:row>
      <xdr:rowOff>5080</xdr:rowOff>
    </xdr:from>
    <xdr:to>
      <xdr:col>10</xdr:col>
      <xdr:colOff>233680</xdr:colOff>
      <xdr:row>25</xdr:row>
      <xdr:rowOff>76200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4A22006C-FFCE-1003-5A04-C8DC725ACE91}"/>
            </a:ext>
          </a:extLst>
        </xdr:cNvPr>
        <xdr:cNvSpPr txBox="1"/>
      </xdr:nvSpPr>
      <xdr:spPr>
        <a:xfrm>
          <a:off x="5283200" y="43942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Facturación por Categoría de Producto</a:t>
          </a:r>
        </a:p>
      </xdr:txBody>
    </xdr:sp>
    <xdr:clientData/>
  </xdr:twoCellAnchor>
  <xdr:twoCellAnchor>
    <xdr:from>
      <xdr:col>6</xdr:col>
      <xdr:colOff>162560</xdr:colOff>
      <xdr:row>25</xdr:row>
      <xdr:rowOff>101600</xdr:rowOff>
    </xdr:from>
    <xdr:to>
      <xdr:col>10</xdr:col>
      <xdr:colOff>335280</xdr:colOff>
      <xdr:row>33</xdr:row>
      <xdr:rowOff>10160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8986F575-2500-9704-E4F6-D8C9CECFC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728980</xdr:colOff>
      <xdr:row>23</xdr:row>
      <xdr:rowOff>162560</xdr:rowOff>
    </xdr:from>
    <xdr:to>
      <xdr:col>14</xdr:col>
      <xdr:colOff>495300</xdr:colOff>
      <xdr:row>33</xdr:row>
      <xdr:rowOff>60960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63B668D0-30A3-81E9-0299-D708007F08BF}"/>
            </a:ext>
          </a:extLst>
        </xdr:cNvPr>
        <xdr:cNvSpPr/>
      </xdr:nvSpPr>
      <xdr:spPr>
        <a:xfrm>
          <a:off x="9080500" y="4368800"/>
          <a:ext cx="3683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817880</xdr:colOff>
      <xdr:row>24</xdr:row>
      <xdr:rowOff>5080</xdr:rowOff>
    </xdr:from>
    <xdr:to>
      <xdr:col>14</xdr:col>
      <xdr:colOff>330200</xdr:colOff>
      <xdr:row>25</xdr:row>
      <xdr:rowOff>76200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DCE15AF0-DBB5-51CB-96B1-6D1F076EDDC0}"/>
            </a:ext>
          </a:extLst>
        </xdr:cNvPr>
        <xdr:cNvSpPr txBox="1"/>
      </xdr:nvSpPr>
      <xdr:spPr>
        <a:xfrm>
          <a:off x="9169400" y="4394200"/>
          <a:ext cx="342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Cuota Porcentual por Área Comercial</a:t>
          </a:r>
        </a:p>
      </xdr:txBody>
    </xdr:sp>
    <xdr:clientData/>
  </xdr:twoCellAnchor>
  <xdr:twoCellAnchor>
    <xdr:from>
      <xdr:col>10</xdr:col>
      <xdr:colOff>817880</xdr:colOff>
      <xdr:row>25</xdr:row>
      <xdr:rowOff>101600</xdr:rowOff>
    </xdr:from>
    <xdr:to>
      <xdr:col>14</xdr:col>
      <xdr:colOff>406400</xdr:colOff>
      <xdr:row>33</xdr:row>
      <xdr:rowOff>10160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AE04FE4B-6167-A690-A807-3F363BBD0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34</xdr:row>
      <xdr:rowOff>5080</xdr:rowOff>
    </xdr:from>
    <xdr:to>
      <xdr:col>14</xdr:col>
      <xdr:colOff>469900</xdr:colOff>
      <xdr:row>35</xdr:row>
      <xdr:rowOff>139700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136F5A12-406F-6B24-9AD5-B1291921D42C}"/>
            </a:ext>
          </a:extLst>
        </xdr:cNvPr>
        <xdr:cNvSpPr txBox="1"/>
      </xdr:nvSpPr>
      <xdr:spPr>
        <a:xfrm>
          <a:off x="228600" y="6223000"/>
          <a:ext cx="12509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/>
  </xdr:twoCellAnchor>
  <xdr:twoCellAnchor>
    <xdr:from>
      <xdr:col>3</xdr:col>
      <xdr:colOff>259080</xdr:colOff>
      <xdr:row>1</xdr:row>
      <xdr:rowOff>20320</xdr:rowOff>
    </xdr:from>
    <xdr:to>
      <xdr:col>4</xdr:col>
      <xdr:colOff>337820</xdr:colOff>
      <xdr:row>3</xdr:row>
      <xdr:rowOff>60960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3F99E85-7906-B2E7-2B7C-F9E50AB5657D}"/>
            </a:ext>
          </a:extLst>
        </xdr:cNvPr>
        <xdr:cNvSpPr/>
      </xdr:nvSpPr>
      <xdr:spPr>
        <a:xfrm>
          <a:off x="2476500" y="203200"/>
          <a:ext cx="406400" cy="406400"/>
        </a:xfrm>
        <a:prstGeom prst="ellipse">
          <a:avLst/>
        </a:prstGeom>
        <a:solidFill>
          <a:srgbClr val="FFFFFF"/>
        </a:solidFill>
        <a:ln w="254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800">
            <a:solidFill>
              <a:srgbClr val="0874B3"/>
            </a:solidFill>
          </a:endParaRPr>
        </a:p>
      </xdr:txBody>
    </xdr:sp>
    <xdr:clientData/>
  </xdr:twoCellAnchor>
  <xdr:twoCellAnchor>
    <xdr:from>
      <xdr:col>4</xdr:col>
      <xdr:colOff>426720</xdr:colOff>
      <xdr:row>0</xdr:row>
      <xdr:rowOff>177800</xdr:rowOff>
    </xdr:from>
    <xdr:to>
      <xdr:col>7</xdr:col>
      <xdr:colOff>825500</xdr:colOff>
      <xdr:row>2</xdr:row>
      <xdr:rowOff>91440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8E8E46D7-08CE-6D64-6A8D-4E12FA316B29}"/>
            </a:ext>
          </a:extLst>
        </xdr:cNvPr>
        <xdr:cNvSpPr txBox="1"/>
      </xdr:nvSpPr>
      <xdr:spPr>
        <a:xfrm>
          <a:off x="2971800" y="177800"/>
          <a:ext cx="3302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200" b="1">
              <a:solidFill>
                <a:srgbClr val="FFFFFF"/>
              </a:solidFill>
              <a:latin typeface="Segoe UI" panose="020B0502040204020203" pitchFamily="34" charset="0"/>
            </a:rPr>
            <a:t>Dashboard - Analisis de Ventas</a:t>
          </a:r>
        </a:p>
      </xdr:txBody>
    </xdr:sp>
    <xdr:clientData/>
  </xdr:twoCellAnchor>
  <xdr:twoCellAnchor>
    <xdr:from>
      <xdr:col>4</xdr:col>
      <xdr:colOff>426720</xdr:colOff>
      <xdr:row>2</xdr:row>
      <xdr:rowOff>40640</xdr:rowOff>
    </xdr:from>
    <xdr:to>
      <xdr:col>7</xdr:col>
      <xdr:colOff>825500</xdr:colOff>
      <xdr:row>3</xdr:row>
      <xdr:rowOff>60960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E007B46D-21C1-CE59-91C0-05E67CF3EB1C}"/>
            </a:ext>
          </a:extLst>
        </xdr:cNvPr>
        <xdr:cNvSpPr txBox="1"/>
      </xdr:nvSpPr>
      <xdr:spPr>
        <a:xfrm>
          <a:off x="2971800" y="406400"/>
          <a:ext cx="3302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C0C0C0"/>
              </a:solidFill>
              <a:latin typeface="Segoe UI" panose="020B0502040204020203" pitchFamily="34" charset="0"/>
            </a:rPr>
            <a:t>Indicadores Comerciales y Facturacion en Tiempo Real</a:t>
          </a:r>
        </a:p>
      </xdr:txBody>
    </xdr:sp>
    <xdr:clientData/>
  </xdr:twoCellAnchor>
  <xdr:twoCellAnchor>
    <xdr:from>
      <xdr:col>7</xdr:col>
      <xdr:colOff>838200</xdr:colOff>
      <xdr:row>0</xdr:row>
      <xdr:rowOff>152400</xdr:rowOff>
    </xdr:from>
    <xdr:to>
      <xdr:col>8</xdr:col>
      <xdr:colOff>1201420</xdr:colOff>
      <xdr:row>2</xdr:row>
      <xdr:rowOff>40640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487E8E5C-D761-1CB1-3897-E223B59815FC}"/>
            </a:ext>
          </a:extLst>
        </xdr:cNvPr>
        <xdr:cNvSpPr txBox="1"/>
      </xdr:nvSpPr>
      <xdr:spPr>
        <a:xfrm>
          <a:off x="6286500" y="152400"/>
          <a:ext cx="1651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0E8BD7"/>
              </a:solidFill>
              <a:latin typeface="Segoe UI" panose="020B0502040204020203" pitchFamily="34" charset="0"/>
            </a:rPr>
            <a:t>• Filtro por Categoría</a:t>
          </a:r>
        </a:p>
      </xdr:txBody>
    </xdr:sp>
    <xdr:clientData/>
  </xdr:twoCellAnchor>
  <xdr:twoCellAnchor>
    <xdr:from>
      <xdr:col>7</xdr:col>
      <xdr:colOff>838200</xdr:colOff>
      <xdr:row>1</xdr:row>
      <xdr:rowOff>147320</xdr:rowOff>
    </xdr:from>
    <xdr:to>
      <xdr:col>8</xdr:col>
      <xdr:colOff>210820</xdr:colOff>
      <xdr:row>3</xdr:row>
      <xdr:rowOff>10160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EF548D0-5175-6F02-3C2F-E5EFC193301A}"/>
            </a:ext>
          </a:extLst>
        </xdr:cNvPr>
        <xdr:cNvSpPr/>
      </xdr:nvSpPr>
      <xdr:spPr>
        <a:xfrm>
          <a:off x="6286500" y="330200"/>
          <a:ext cx="6604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Hardware</a:t>
          </a:r>
        </a:p>
      </xdr:txBody>
    </xdr:sp>
    <xdr:clientData/>
  </xdr:twoCellAnchor>
  <xdr:twoCellAnchor>
    <xdr:from>
      <xdr:col>8</xdr:col>
      <xdr:colOff>261620</xdr:colOff>
      <xdr:row>1</xdr:row>
      <xdr:rowOff>147320</xdr:rowOff>
    </xdr:from>
    <xdr:to>
      <xdr:col>8</xdr:col>
      <xdr:colOff>922020</xdr:colOff>
      <xdr:row>3</xdr:row>
      <xdr:rowOff>10160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D9A3056F-AA31-8613-14EE-6ACBAB79F5A3}"/>
            </a:ext>
          </a:extLst>
        </xdr:cNvPr>
        <xdr:cNvSpPr/>
      </xdr:nvSpPr>
      <xdr:spPr>
        <a:xfrm>
          <a:off x="6997700" y="330200"/>
          <a:ext cx="6604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Servicios</a:t>
          </a:r>
        </a:p>
      </xdr:txBody>
    </xdr:sp>
    <xdr:clientData/>
  </xdr:twoCellAnchor>
  <xdr:twoCellAnchor>
    <xdr:from>
      <xdr:col>8</xdr:col>
      <xdr:colOff>972820</xdr:colOff>
      <xdr:row>1</xdr:row>
      <xdr:rowOff>147320</xdr:rowOff>
    </xdr:from>
    <xdr:to>
      <xdr:col>10</xdr:col>
      <xdr:colOff>17780</xdr:colOff>
      <xdr:row>3</xdr:row>
      <xdr:rowOff>10160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B29CF1E2-9E01-008D-15BD-1C39B2A7752A}"/>
            </a:ext>
          </a:extLst>
        </xdr:cNvPr>
        <xdr:cNvSpPr/>
      </xdr:nvSpPr>
      <xdr:spPr>
        <a:xfrm>
          <a:off x="7708900" y="330200"/>
          <a:ext cx="6604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Software</a:t>
          </a:r>
        </a:p>
      </xdr:txBody>
    </xdr:sp>
    <xdr:clientData/>
  </xdr:twoCellAnchor>
  <xdr:twoCellAnchor>
    <xdr:from>
      <xdr:col>10</xdr:col>
      <xdr:colOff>93980</xdr:colOff>
      <xdr:row>0</xdr:row>
      <xdr:rowOff>152400</xdr:rowOff>
    </xdr:from>
    <xdr:to>
      <xdr:col>11</xdr:col>
      <xdr:colOff>520700</xdr:colOff>
      <xdr:row>3</xdr:row>
      <xdr:rowOff>10160</xdr:rowOff>
    </xdr:to>
    <xdr:sp macro="" textlink="">
      <xdr:nvSpPr>
        <xdr:cNvPr id="65" name="DrByte_Contact_Box">
          <a:extLst>
            <a:ext uri="{FF2B5EF4-FFF2-40B4-BE49-F238E27FC236}">
              <a16:creationId xmlns:a16="http://schemas.microsoft.com/office/drawing/2014/main" id="{D906622E-3F5C-6F12-4013-25605A009EAE}"/>
            </a:ext>
          </a:extLst>
        </xdr:cNvPr>
        <xdr:cNvSpPr txBox="1"/>
      </xdr:nvSpPr>
      <xdr:spPr>
        <a:xfrm>
          <a:off x="8445500" y="152400"/>
          <a:ext cx="17145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650" b="1">
              <a:solidFill>
                <a:srgbClr val="00B8FF"/>
              </a:solidFill>
              <a:latin typeface="Segoe UI" panose="020B0502040204020203" pitchFamily="34" charset="0"/>
            </a:rPr>
            <a:t>DR. BYTE | Soporte
+34 607353910
hola.drbyte@gmail.com</a:t>
          </a:r>
        </a:p>
      </xdr:txBody>
    </xdr:sp>
    <xdr:clientData/>
  </xdr:twoCellAnchor>
  <xdr:twoCellAnchor>
    <xdr:from>
      <xdr:col>11</xdr:col>
      <xdr:colOff>571500</xdr:colOff>
      <xdr:row>1</xdr:row>
      <xdr:rowOff>7620</xdr:rowOff>
    </xdr:from>
    <xdr:to>
      <xdr:col>11</xdr:col>
      <xdr:colOff>901700</xdr:colOff>
      <xdr:row>2</xdr:row>
      <xdr:rowOff>154940</xdr:rowOff>
    </xdr:to>
    <xdr:pic>
      <xdr:nvPicPr>
        <xdr:cNvPr id="66" name="DrByte_Logo_Locked">
          <a:extLst>
            <a:ext uri="{FF2B5EF4-FFF2-40B4-BE49-F238E27FC236}">
              <a16:creationId xmlns:a16="http://schemas.microsoft.com/office/drawing/2014/main" id="{45EED4A1-13FC-F123-8CF7-C1B2713A9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190500"/>
          <a:ext cx="330200" cy="330200"/>
        </a:xfrm>
        <a:prstGeom prst="rect">
          <a:avLst/>
        </a:prstGeom>
      </xdr:spPr>
    </xdr:pic>
    <xdr:clientData/>
  </xdr:twoCellAnchor>
  <xdr:twoCellAnchor>
    <xdr:from>
      <xdr:col>3</xdr:col>
      <xdr:colOff>259080</xdr:colOff>
      <xdr:row>3</xdr:row>
      <xdr:rowOff>137160</xdr:rowOff>
    </xdr:from>
    <xdr:to>
      <xdr:col>5</xdr:col>
      <xdr:colOff>1120140</xdr:colOff>
      <xdr:row>10</xdr:row>
      <xdr:rowOff>50800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99176BD8-227F-201B-A7BD-595312FBB37A}"/>
            </a:ext>
          </a:extLst>
        </xdr:cNvPr>
        <xdr:cNvSpPr/>
      </xdr:nvSpPr>
      <xdr:spPr>
        <a:xfrm>
          <a:off x="2476500" y="685800"/>
          <a:ext cx="2476500" cy="1193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58420</xdr:colOff>
      <xdr:row>4</xdr:row>
      <xdr:rowOff>106680</xdr:rowOff>
    </xdr:from>
    <xdr:to>
      <xdr:col>4</xdr:col>
      <xdr:colOff>591820</xdr:colOff>
      <xdr:row>7</xdr:row>
      <xdr:rowOff>91440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CA7BDB21-02B2-877A-2371-5E4A1EB906F8}"/>
            </a:ext>
          </a:extLst>
        </xdr:cNvPr>
        <xdr:cNvSpPr/>
      </xdr:nvSpPr>
      <xdr:spPr>
        <a:xfrm>
          <a:off x="2603500" y="838200"/>
          <a:ext cx="533400" cy="53340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600"/>
            <a:t>🛒</a:t>
          </a:r>
        </a:p>
      </xdr:txBody>
    </xdr:sp>
    <xdr:clientData/>
  </xdr:twoCellAnchor>
  <xdr:twoCellAnchor>
    <xdr:from>
      <xdr:col>4</xdr:col>
      <xdr:colOff>693420</xdr:colOff>
      <xdr:row>4</xdr:row>
      <xdr:rowOff>81280</xdr:rowOff>
    </xdr:from>
    <xdr:to>
      <xdr:col>5</xdr:col>
      <xdr:colOff>1120140</xdr:colOff>
      <xdr:row>6</xdr:row>
      <xdr:rowOff>147320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A368862-AF34-AAD7-5D28-5624A89B8CF3}"/>
            </a:ext>
          </a:extLst>
        </xdr:cNvPr>
        <xdr:cNvSpPr txBox="1"/>
      </xdr:nvSpPr>
      <xdr:spPr>
        <a:xfrm>
          <a:off x="3238500" y="812800"/>
          <a:ext cx="1714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800" b="1">
              <a:solidFill>
                <a:srgbClr val="1F2120"/>
              </a:solidFill>
            </a:rPr>
            <a:t>22.378 €</a:t>
          </a:r>
        </a:p>
      </xdr:txBody>
    </xdr:sp>
    <xdr:clientData/>
  </xdr:twoCellAnchor>
  <xdr:twoCellAnchor>
    <xdr:from>
      <xdr:col>4</xdr:col>
      <xdr:colOff>693420</xdr:colOff>
      <xdr:row>7</xdr:row>
      <xdr:rowOff>40640</xdr:rowOff>
    </xdr:from>
    <xdr:to>
      <xdr:col>5</xdr:col>
      <xdr:colOff>1120140</xdr:colOff>
      <xdr:row>8</xdr:row>
      <xdr:rowOff>162560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B12D8988-3EC7-4570-24E7-B05CB34109D7}"/>
            </a:ext>
          </a:extLst>
        </xdr:cNvPr>
        <xdr:cNvSpPr txBox="1"/>
      </xdr:nvSpPr>
      <xdr:spPr>
        <a:xfrm>
          <a:off x="3238500" y="1320800"/>
          <a:ext cx="17145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</a:rPr>
            <a:t>Facturación Total</a:t>
          </a:r>
        </a:p>
      </xdr:txBody>
    </xdr:sp>
    <xdr:clientData/>
  </xdr:twoCellAnchor>
  <xdr:twoCellAnchor>
    <xdr:from>
      <xdr:col>6</xdr:col>
      <xdr:colOff>111760</xdr:colOff>
      <xdr:row>3</xdr:row>
      <xdr:rowOff>137160</xdr:rowOff>
    </xdr:from>
    <xdr:to>
      <xdr:col>8</xdr:col>
      <xdr:colOff>972820</xdr:colOff>
      <xdr:row>10</xdr:row>
      <xdr:rowOff>50800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61FAF65-DA03-8470-6DCD-3094A47DF4CB}"/>
            </a:ext>
          </a:extLst>
        </xdr:cNvPr>
        <xdr:cNvSpPr/>
      </xdr:nvSpPr>
      <xdr:spPr>
        <a:xfrm>
          <a:off x="5232400" y="685800"/>
          <a:ext cx="2476500" cy="1193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187960</xdr:colOff>
      <xdr:row>4</xdr:row>
      <xdr:rowOff>81280</xdr:rowOff>
    </xdr:from>
    <xdr:to>
      <xdr:col>7</xdr:col>
      <xdr:colOff>812800</xdr:colOff>
      <xdr:row>9</xdr:row>
      <xdr:rowOff>119380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48700056-D276-6033-5DE9-032801FCA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927100</xdr:colOff>
      <xdr:row>4</xdr:row>
      <xdr:rowOff>81280</xdr:rowOff>
    </xdr:from>
    <xdr:to>
      <xdr:col>8</xdr:col>
      <xdr:colOff>972820</xdr:colOff>
      <xdr:row>6</xdr:row>
      <xdr:rowOff>147320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E3A9005D-0C76-ED65-985F-648322B2F786}"/>
            </a:ext>
          </a:extLst>
        </xdr:cNvPr>
        <xdr:cNvSpPr txBox="1"/>
      </xdr:nvSpPr>
      <xdr:spPr>
        <a:xfrm>
          <a:off x="6375400" y="8128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700" b="1">
              <a:solidFill>
                <a:srgbClr val="1F2120"/>
              </a:solidFill>
            </a:rPr>
            <a:t>18.495 €</a:t>
          </a:r>
        </a:p>
      </xdr:txBody>
    </xdr:sp>
    <xdr:clientData/>
  </xdr:twoCellAnchor>
  <xdr:twoCellAnchor>
    <xdr:from>
      <xdr:col>7</xdr:col>
      <xdr:colOff>927100</xdr:colOff>
      <xdr:row>7</xdr:row>
      <xdr:rowOff>40640</xdr:rowOff>
    </xdr:from>
    <xdr:to>
      <xdr:col>8</xdr:col>
      <xdr:colOff>972820</xdr:colOff>
      <xdr:row>9</xdr:row>
      <xdr:rowOff>55880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8F99C1FC-4701-9648-A374-74BEBA956F8A}"/>
            </a:ext>
          </a:extLst>
        </xdr:cNvPr>
        <xdr:cNvSpPr txBox="1"/>
      </xdr:nvSpPr>
      <xdr:spPr>
        <a:xfrm>
          <a:off x="6375400" y="1320800"/>
          <a:ext cx="13335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</a:rPr>
            <a:t>Base Imponible
(82,6% Total)</a:t>
          </a:r>
        </a:p>
      </xdr:txBody>
    </xdr:sp>
    <xdr:clientData/>
  </xdr:twoCellAnchor>
  <xdr:twoCellAnchor>
    <xdr:from>
      <xdr:col>8</xdr:col>
      <xdr:colOff>1264920</xdr:colOff>
      <xdr:row>3</xdr:row>
      <xdr:rowOff>137160</xdr:rowOff>
    </xdr:from>
    <xdr:to>
      <xdr:col>11</xdr:col>
      <xdr:colOff>838200</xdr:colOff>
      <xdr:row>10</xdr:row>
      <xdr:rowOff>50800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FE6A501A-FC0E-5918-93AC-90254DD3A400}"/>
            </a:ext>
          </a:extLst>
        </xdr:cNvPr>
        <xdr:cNvSpPr/>
      </xdr:nvSpPr>
      <xdr:spPr>
        <a:xfrm>
          <a:off x="8001000" y="685800"/>
          <a:ext cx="2476500" cy="1193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53340</xdr:colOff>
      <xdr:row>4</xdr:row>
      <xdr:rowOff>81280</xdr:rowOff>
    </xdr:from>
    <xdr:to>
      <xdr:col>10</xdr:col>
      <xdr:colOff>678180</xdr:colOff>
      <xdr:row>9</xdr:row>
      <xdr:rowOff>119380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DC03291E-B267-B8E4-AB8B-A6C004E93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792480</xdr:colOff>
      <xdr:row>4</xdr:row>
      <xdr:rowOff>81280</xdr:rowOff>
    </xdr:from>
    <xdr:to>
      <xdr:col>11</xdr:col>
      <xdr:colOff>838200</xdr:colOff>
      <xdr:row>6</xdr:row>
      <xdr:rowOff>147320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CE07EDBD-F615-29D5-DCF1-FD4EA0FA03C8}"/>
            </a:ext>
          </a:extLst>
        </xdr:cNvPr>
        <xdr:cNvSpPr txBox="1"/>
      </xdr:nvSpPr>
      <xdr:spPr>
        <a:xfrm>
          <a:off x="9144000" y="8128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700" b="1">
              <a:solidFill>
                <a:srgbClr val="1F2120"/>
              </a:solidFill>
            </a:rPr>
            <a:t>3.884 €</a:t>
          </a:r>
        </a:p>
      </xdr:txBody>
    </xdr:sp>
    <xdr:clientData/>
  </xdr:twoCellAnchor>
  <xdr:twoCellAnchor>
    <xdr:from>
      <xdr:col>10</xdr:col>
      <xdr:colOff>792480</xdr:colOff>
      <xdr:row>7</xdr:row>
      <xdr:rowOff>40640</xdr:rowOff>
    </xdr:from>
    <xdr:to>
      <xdr:col>11</xdr:col>
      <xdr:colOff>838200</xdr:colOff>
      <xdr:row>9</xdr:row>
      <xdr:rowOff>55880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55074B5F-2B0B-8B1E-5FC1-DA53C1B5068A}"/>
            </a:ext>
          </a:extLst>
        </xdr:cNvPr>
        <xdr:cNvSpPr txBox="1"/>
      </xdr:nvSpPr>
      <xdr:spPr>
        <a:xfrm>
          <a:off x="9144000" y="1320800"/>
          <a:ext cx="13335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</a:rPr>
            <a:t>IVA Repercutido
(17,4% Cuota)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D270A836-408A-5D61-02FF-5FA432528E5E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CLIENTE</a:t>
          </a:r>
        </a:p>
      </xdr:txBody>
    </xdr:sp>
    <xdr:clientData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D8F768C0-C056-526D-5494-8A580C3E92C8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4" name="BtnRegistrarVenta">
          <a:extLst>
            <a:ext uri="{FF2B5EF4-FFF2-40B4-BE49-F238E27FC236}">
              <a16:creationId xmlns:a16="http://schemas.microsoft.com/office/drawing/2014/main" id="{3648BC88-2132-3B15-CF48-C0F91761A041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VENTA</a:t>
          </a:r>
        </a:p>
      </xdr:txBody>
    </xdr:sp>
    <xdr:clientData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5" name="BtnLimpiarVenta">
          <a:extLst>
            <a:ext uri="{FF2B5EF4-FFF2-40B4-BE49-F238E27FC236}">
              <a16:creationId xmlns:a16="http://schemas.microsoft.com/office/drawing/2014/main" id="{51762732-70F3-087C-BC4A-4E3E1D630049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6" name="BtnGoDashboard">
          <a:extLst>
            <a:ext uri="{FF2B5EF4-FFF2-40B4-BE49-F238E27FC236}">
              <a16:creationId xmlns:a16="http://schemas.microsoft.com/office/drawing/2014/main" id="{6AB6A89F-27D6-188B-1146-9315B69099C5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7" name="BtnActualizarTotales">
          <a:extLst>
            <a:ext uri="{FF2B5EF4-FFF2-40B4-BE49-F238E27FC236}">
              <a16:creationId xmlns:a16="http://schemas.microsoft.com/office/drawing/2014/main" id="{645629F5-20D5-84AC-4682-89A9FB7D88C2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ACTUALIZAR TOTALES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64FDF-5ACB-429C-B5E8-96781EFD1F9B}">
  <sheetPr codeName="Hoja1">
    <tabColor rgb="FF920026"/>
    <pageSetUpPr fitToPage="1"/>
  </sheetPr>
  <dimension ref="A1:AC50"/>
  <sheetViews>
    <sheetView tabSelected="1" workbookViewId="0"/>
  </sheetViews>
  <sheetFormatPr baseColWidth="10" defaultRowHeight="14.4" x14ac:dyDescent="0.3"/>
  <cols>
    <col min="1" max="1" width="2.77734375" style="26" customWidth="1"/>
    <col min="2" max="3" width="14.77734375" style="26" customWidth="1"/>
    <col min="4" max="4" width="4.77734375" style="26" customWidth="1"/>
    <col min="5" max="6" width="18.77734375" style="26" customWidth="1"/>
    <col min="7" max="7" width="4.77734375" style="26" customWidth="1"/>
    <col min="8" max="9" width="18.77734375" style="26" customWidth="1"/>
    <col min="10" max="10" width="4.77734375" style="26" customWidth="1"/>
    <col min="11" max="12" width="18.77734375" style="26" customWidth="1"/>
    <col min="13" max="13" width="4.77734375" style="26" customWidth="1"/>
    <col min="14" max="15" width="14.77734375" style="26" customWidth="1"/>
    <col min="16" max="16384" width="11.5546875" style="26"/>
  </cols>
  <sheetData>
    <row r="1" spans="1:2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</row>
    <row r="2" spans="1:29" x14ac:dyDescent="0.3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</row>
    <row r="3" spans="1:29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</row>
    <row r="4" spans="1:29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</row>
    <row r="5" spans="1:29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</row>
    <row r="6" spans="1:29" x14ac:dyDescent="0.3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</row>
    <row r="7" spans="1:29" x14ac:dyDescent="0.3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</row>
    <row r="8" spans="1:29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</row>
    <row r="9" spans="1:29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</row>
    <row r="10" spans="1:29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</row>
    <row r="11" spans="1:29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</row>
    <row r="12" spans="1:29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</row>
    <row r="13" spans="1:2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</row>
    <row r="14" spans="1:29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</row>
    <row r="15" spans="1:29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</row>
    <row r="16" spans="1:29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</row>
    <row r="17" spans="1:29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</row>
    <row r="18" spans="1:29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</row>
    <row r="19" spans="1:29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</row>
    <row r="20" spans="1:29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</row>
    <row r="21" spans="1:29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</row>
    <row r="22" spans="1:29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</row>
    <row r="23" spans="1:29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</row>
    <row r="24" spans="1:29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</row>
    <row r="25" spans="1:29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</row>
    <row r="26" spans="1:29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</row>
    <row r="27" spans="1:29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</row>
    <row r="28" spans="1:29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</row>
    <row r="29" spans="1:29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</row>
    <row r="30" spans="1:29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</row>
    <row r="31" spans="1:29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</row>
    <row r="32" spans="1:29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</row>
    <row r="33" spans="1:29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</row>
    <row r="34" spans="1:29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</row>
    <row r="35" spans="1:29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</row>
    <row r="36" spans="1:29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</row>
    <row r="37" spans="1:29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</row>
    <row r="38" spans="1:29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</row>
    <row r="39" spans="1:29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</row>
    <row r="40" spans="1:29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</row>
    <row r="41" spans="1:29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</row>
    <row r="42" spans="1:29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</row>
    <row r="43" spans="1:29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</row>
    <row r="44" spans="1:29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</row>
    <row r="45" spans="1:29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</row>
    <row r="46" spans="1:29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</row>
    <row r="47" spans="1:29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</row>
    <row r="48" spans="1:29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</row>
    <row r="49" spans="1:29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</row>
    <row r="50" spans="1:29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</row>
  </sheetData>
  <sheetProtection algorithmName="SHA-512" hashValue="RuUVUNxAKA1x2HXM19teRijg/heWQ3QD9xwlpvdJJp/tM8vnNJ1aDvYvDX4G5Yes42DhhOACTnkCbUJS8uaBRw==" saltValue="LgLbnZHlEB1qkBv11gK4lg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F0A81-74F9-4D36-A4AB-66E85CB7AC30}">
  <sheetPr codeName="Hoja2">
    <tabColor rgb="FF000080"/>
  </sheetPr>
  <dimension ref="B2:M13"/>
  <sheetViews>
    <sheetView workbookViewId="0"/>
  </sheetViews>
  <sheetFormatPr baseColWidth="10" defaultRowHeight="14.4" x14ac:dyDescent="0.3"/>
  <cols>
    <col min="1" max="1" width="3.77734375" customWidth="1"/>
    <col min="2" max="2" width="22.77734375" customWidth="1"/>
    <col min="3" max="5" width="14.77734375" customWidth="1"/>
    <col min="6" max="6" width="4.77734375" customWidth="1"/>
    <col min="7" max="7" width="22.77734375" customWidth="1"/>
    <col min="8" max="10" width="14.77734375" customWidth="1"/>
    <col min="11" max="11" width="4.77734375" customWidth="1"/>
    <col min="12" max="12" width="23.77734375" customWidth="1"/>
    <col min="13" max="13" width="18.77734375" customWidth="1"/>
  </cols>
  <sheetData>
    <row r="2" spans="2:13" ht="36" customHeight="1" x14ac:dyDescent="0.35">
      <c r="B2" s="34" t="s">
        <v>131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</row>
    <row r="3" spans="2:13" ht="18" customHeight="1" x14ac:dyDescent="0.3">
      <c r="B3" s="35" t="s">
        <v>132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</row>
    <row r="5" spans="2:13" ht="24" customHeight="1" x14ac:dyDescent="0.3">
      <c r="B5" s="36" t="s">
        <v>133</v>
      </c>
      <c r="C5" s="36"/>
      <c r="D5" s="36"/>
      <c r="E5" s="36"/>
      <c r="G5" s="31" t="s">
        <v>139</v>
      </c>
      <c r="H5" s="31"/>
      <c r="I5" s="31"/>
      <c r="J5" s="31"/>
      <c r="L5" s="30" t="s">
        <v>149</v>
      </c>
      <c r="M5" s="30"/>
    </row>
    <row r="6" spans="2:13" x14ac:dyDescent="0.3">
      <c r="B6" s="19" t="s">
        <v>134</v>
      </c>
      <c r="C6" s="29"/>
      <c r="D6" s="29"/>
      <c r="E6" s="29"/>
      <c r="G6" s="19" t="s">
        <v>140</v>
      </c>
      <c r="H6" s="32">
        <f t="shared" ref="H6" ca="1" si="0">TODAY()</f>
        <v>46278</v>
      </c>
      <c r="I6" s="32"/>
      <c r="J6" s="32"/>
      <c r="L6" s="20" t="s">
        <v>150</v>
      </c>
      <c r="M6" s="21">
        <f>SUM(Ventas!L:L)</f>
        <v>23945.900000000005</v>
      </c>
    </row>
    <row r="7" spans="2:13" x14ac:dyDescent="0.3">
      <c r="B7" s="19" t="s">
        <v>135</v>
      </c>
      <c r="C7" s="29"/>
      <c r="D7" s="29"/>
      <c r="E7" s="29"/>
      <c r="G7" s="19" t="s">
        <v>141</v>
      </c>
      <c r="H7" s="29" t="s">
        <v>7</v>
      </c>
      <c r="I7" s="29"/>
      <c r="J7" s="29"/>
      <c r="L7" s="20" t="s">
        <v>151</v>
      </c>
      <c r="M7" s="22">
        <f>SUM(Ventas!I:I)</f>
        <v>19790</v>
      </c>
    </row>
    <row r="8" spans="2:13" x14ac:dyDescent="0.3">
      <c r="B8" s="19" t="s">
        <v>136</v>
      </c>
      <c r="C8" s="29"/>
      <c r="D8" s="29"/>
      <c r="E8" s="29"/>
      <c r="G8" s="19" t="s">
        <v>142</v>
      </c>
      <c r="H8" s="29" t="s">
        <v>143</v>
      </c>
      <c r="I8" s="29"/>
      <c r="J8" s="29"/>
      <c r="L8" s="20" t="s">
        <v>152</v>
      </c>
      <c r="M8" s="22">
        <f>SUM(Ventas!K:K)</f>
        <v>4155.8999999999996</v>
      </c>
    </row>
    <row r="9" spans="2:13" x14ac:dyDescent="0.3">
      <c r="B9" s="19" t="s">
        <v>137</v>
      </c>
      <c r="C9" s="29"/>
      <c r="D9" s="29"/>
      <c r="E9" s="29"/>
      <c r="G9" s="19" t="s">
        <v>144</v>
      </c>
      <c r="H9" s="29" t="s">
        <v>69</v>
      </c>
      <c r="I9" s="29"/>
      <c r="J9" s="29"/>
      <c r="L9" s="20" t="s">
        <v>153</v>
      </c>
      <c r="M9" s="23">
        <f>COUNTA(Ventas!A:A)-1</f>
        <v>16</v>
      </c>
    </row>
    <row r="10" spans="2:13" x14ac:dyDescent="0.3">
      <c r="B10" s="19" t="s">
        <v>138</v>
      </c>
      <c r="C10" s="29"/>
      <c r="D10" s="29"/>
      <c r="E10" s="29"/>
      <c r="G10" s="19" t="s">
        <v>145</v>
      </c>
      <c r="H10" s="33">
        <v>1</v>
      </c>
      <c r="I10" s="33"/>
      <c r="J10" s="33"/>
      <c r="L10" s="20" t="s">
        <v>154</v>
      </c>
      <c r="M10" s="23">
        <f>COUNTA(Clientes!A:A)-1</f>
        <v>8</v>
      </c>
    </row>
    <row r="11" spans="2:13" x14ac:dyDescent="0.3">
      <c r="G11" s="19" t="s">
        <v>146</v>
      </c>
      <c r="H11" s="27">
        <v>250</v>
      </c>
      <c r="I11" s="27"/>
      <c r="J11" s="27"/>
      <c r="L11" s="20" t="s">
        <v>155</v>
      </c>
      <c r="M11" s="24">
        <f>IF(M9&gt;0, M6/M9, 0)</f>
        <v>1496.6187500000003</v>
      </c>
    </row>
    <row r="12" spans="2:13" x14ac:dyDescent="0.3">
      <c r="G12" s="19" t="s">
        <v>147</v>
      </c>
      <c r="H12" s="28">
        <v>0.21</v>
      </c>
      <c r="I12" s="28"/>
      <c r="J12" s="28"/>
    </row>
    <row r="13" spans="2:13" x14ac:dyDescent="0.3">
      <c r="G13" s="19" t="s">
        <v>148</v>
      </c>
      <c r="H13" s="29" t="s">
        <v>65</v>
      </c>
      <c r="I13" s="29"/>
      <c r="J13" s="29"/>
    </row>
  </sheetData>
  <mergeCells count="18">
    <mergeCell ref="B2:M2"/>
    <mergeCell ref="B3:M3"/>
    <mergeCell ref="B5:E5"/>
    <mergeCell ref="C6:E6"/>
    <mergeCell ref="C7:E7"/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9366-2F77-4FC2-87A8-6AA18EBD71C4}">
  <sheetPr codeName="Hoja3">
    <tabColor rgb="FF004080"/>
  </sheetPr>
  <dimension ref="A1:G9"/>
  <sheetViews>
    <sheetView workbookViewId="0"/>
  </sheetViews>
  <sheetFormatPr baseColWidth="10" defaultRowHeight="14.4" x14ac:dyDescent="0.3"/>
  <cols>
    <col min="2" max="2" width="10.21875" bestFit="1" customWidth="1"/>
    <col min="3" max="3" width="34.109375" bestFit="1" customWidth="1"/>
    <col min="4" max="4" width="11.109375" bestFit="1" customWidth="1"/>
    <col min="5" max="5" width="23.21875" bestFit="1" customWidth="1"/>
    <col min="6" max="6" width="9.6640625" bestFit="1" customWidth="1"/>
    <col min="7" max="7" width="13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" x14ac:dyDescent="0.35">
      <c r="A2" s="3" t="s">
        <v>7</v>
      </c>
      <c r="B2" s="3" t="s">
        <v>8</v>
      </c>
      <c r="C2" s="2" t="s">
        <v>9</v>
      </c>
      <c r="D2" s="3">
        <v>912345678</v>
      </c>
      <c r="E2" s="2" t="s">
        <v>10</v>
      </c>
      <c r="F2" s="2" t="s">
        <v>11</v>
      </c>
      <c r="G2" s="4">
        <v>46296</v>
      </c>
    </row>
    <row r="3" spans="1:7" ht="15" x14ac:dyDescent="0.35">
      <c r="A3" s="3" t="s">
        <v>12</v>
      </c>
      <c r="B3" s="3" t="s">
        <v>13</v>
      </c>
      <c r="C3" s="2" t="s">
        <v>14</v>
      </c>
      <c r="D3" s="3">
        <v>942112233</v>
      </c>
      <c r="E3" s="2" t="s">
        <v>15</v>
      </c>
      <c r="F3" s="2" t="s">
        <v>16</v>
      </c>
      <c r="G3" s="3" t="s">
        <v>17</v>
      </c>
    </row>
    <row r="4" spans="1:7" ht="15" x14ac:dyDescent="0.35">
      <c r="A4" s="3" t="s">
        <v>18</v>
      </c>
      <c r="B4" s="3" t="s">
        <v>19</v>
      </c>
      <c r="C4" s="2" t="s">
        <v>20</v>
      </c>
      <c r="D4" s="3">
        <v>954987654</v>
      </c>
      <c r="E4" s="2" t="s">
        <v>21</v>
      </c>
      <c r="F4" s="2" t="s">
        <v>22</v>
      </c>
      <c r="G4" s="4">
        <v>46055</v>
      </c>
    </row>
    <row r="5" spans="1:7" ht="15" x14ac:dyDescent="0.35">
      <c r="A5" s="3" t="s">
        <v>23</v>
      </c>
      <c r="B5" s="3" t="s">
        <v>24</v>
      </c>
      <c r="C5" s="2" t="s">
        <v>25</v>
      </c>
      <c r="D5" s="3">
        <v>963112244</v>
      </c>
      <c r="E5" s="2" t="s">
        <v>26</v>
      </c>
      <c r="F5" s="2" t="s">
        <v>27</v>
      </c>
      <c r="G5" s="4">
        <v>46358</v>
      </c>
    </row>
    <row r="6" spans="1:7" ht="15" x14ac:dyDescent="0.35">
      <c r="A6" s="3" t="s">
        <v>28</v>
      </c>
      <c r="B6" s="3" t="s">
        <v>29</v>
      </c>
      <c r="C6" s="2" t="s">
        <v>30</v>
      </c>
      <c r="D6" s="3">
        <v>944556677</v>
      </c>
      <c r="E6" s="2" t="s">
        <v>31</v>
      </c>
      <c r="F6" s="2" t="s">
        <v>32</v>
      </c>
      <c r="G6" s="3" t="s">
        <v>33</v>
      </c>
    </row>
    <row r="7" spans="1:7" ht="15" x14ac:dyDescent="0.35">
      <c r="A7" s="3" t="s">
        <v>34</v>
      </c>
      <c r="B7" s="3" t="s">
        <v>35</v>
      </c>
      <c r="C7" s="2" t="s">
        <v>36</v>
      </c>
      <c r="D7" s="3">
        <v>976223344</v>
      </c>
      <c r="E7" s="2" t="s">
        <v>37</v>
      </c>
      <c r="F7" s="2" t="s">
        <v>38</v>
      </c>
      <c r="G7" s="3" t="s">
        <v>39</v>
      </c>
    </row>
    <row r="8" spans="1:7" ht="15" x14ac:dyDescent="0.35">
      <c r="A8" s="3" t="s">
        <v>40</v>
      </c>
      <c r="B8" s="3" t="s">
        <v>41</v>
      </c>
      <c r="C8" s="2" t="s">
        <v>42</v>
      </c>
      <c r="D8" s="3">
        <v>986445566</v>
      </c>
      <c r="E8" s="2" t="s">
        <v>43</v>
      </c>
      <c r="F8" s="2" t="s">
        <v>44</v>
      </c>
      <c r="G8" s="4">
        <v>46025</v>
      </c>
    </row>
    <row r="9" spans="1:7" ht="15" x14ac:dyDescent="0.35">
      <c r="A9" s="3" t="s">
        <v>45</v>
      </c>
      <c r="B9" s="3" t="s">
        <v>46</v>
      </c>
      <c r="C9" s="2" t="s">
        <v>47</v>
      </c>
      <c r="D9" s="3">
        <v>922334455</v>
      </c>
      <c r="E9" s="2" t="s">
        <v>48</v>
      </c>
      <c r="F9" s="2" t="s">
        <v>49</v>
      </c>
      <c r="G9" s="4">
        <v>46145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7FB2-3BD5-4039-9341-78A77038BFC9}">
  <sheetPr codeName="Hoja4">
    <tabColor rgb="FF008000"/>
  </sheetPr>
  <dimension ref="A1:M17"/>
  <sheetViews>
    <sheetView workbookViewId="0"/>
  </sheetViews>
  <sheetFormatPr baseColWidth="10" defaultRowHeight="14.4" x14ac:dyDescent="0.3"/>
  <cols>
    <col min="1" max="1" width="10.33203125" bestFit="1" customWidth="1"/>
    <col min="2" max="2" width="10.5546875" style="8" bestFit="1" customWidth="1"/>
    <col min="4" max="4" width="34.109375" bestFit="1" customWidth="1"/>
    <col min="5" max="5" width="33" bestFit="1" customWidth="1"/>
    <col min="6" max="6" width="14" bestFit="1" customWidth="1"/>
    <col min="7" max="7" width="11.44140625" style="11" bestFit="1" customWidth="1"/>
    <col min="8" max="8" width="14.109375" style="14" bestFit="1" customWidth="1"/>
    <col min="9" max="9" width="11.33203125" style="14" bestFit="1" customWidth="1"/>
    <col min="10" max="10" width="6.77734375" style="17" bestFit="1" customWidth="1"/>
    <col min="11" max="11" width="11.88671875" style="14" bestFit="1" customWidth="1"/>
    <col min="12" max="12" width="14.6640625" style="14" bestFit="1" customWidth="1"/>
    <col min="13" max="13" width="14.44140625" bestFit="1" customWidth="1"/>
  </cols>
  <sheetData>
    <row r="1" spans="1:13" ht="16.8" x14ac:dyDescent="0.4">
      <c r="A1" s="5" t="s">
        <v>50</v>
      </c>
      <c r="B1" s="6" t="s">
        <v>51</v>
      </c>
      <c r="C1" s="5" t="s">
        <v>0</v>
      </c>
      <c r="D1" s="5" t="s">
        <v>52</v>
      </c>
      <c r="E1" s="5" t="s">
        <v>53</v>
      </c>
      <c r="F1" s="5" t="s">
        <v>54</v>
      </c>
      <c r="G1" s="9" t="s">
        <v>55</v>
      </c>
      <c r="H1" s="12" t="s">
        <v>56</v>
      </c>
      <c r="I1" s="12" t="s">
        <v>57</v>
      </c>
      <c r="J1" s="15" t="s">
        <v>58</v>
      </c>
      <c r="K1" s="12" t="s">
        <v>59</v>
      </c>
      <c r="L1" s="12" t="s">
        <v>60</v>
      </c>
      <c r="M1" s="5" t="s">
        <v>61</v>
      </c>
    </row>
    <row r="2" spans="1:13" ht="15" x14ac:dyDescent="0.35">
      <c r="A2" s="2" t="s">
        <v>62</v>
      </c>
      <c r="B2" s="7" t="s">
        <v>17</v>
      </c>
      <c r="C2" s="2" t="s">
        <v>7</v>
      </c>
      <c r="D2" s="2" t="s">
        <v>9</v>
      </c>
      <c r="E2" s="2" t="s">
        <v>63</v>
      </c>
      <c r="F2" s="2" t="s">
        <v>64</v>
      </c>
      <c r="G2" s="10">
        <v>2</v>
      </c>
      <c r="H2" s="13">
        <v>1450</v>
      </c>
      <c r="I2" s="13">
        <f t="shared" ref="I2:I17" si="0">G2*H2</f>
        <v>2900</v>
      </c>
      <c r="J2" s="16">
        <v>0.21</v>
      </c>
      <c r="K2" s="13">
        <f t="shared" ref="K2:K17" si="1">I2*J2</f>
        <v>609</v>
      </c>
      <c r="L2" s="13">
        <f t="shared" ref="L2:L17" si="2">I2+K2</f>
        <v>3509</v>
      </c>
      <c r="M2" s="2" t="s">
        <v>65</v>
      </c>
    </row>
    <row r="3" spans="1:13" ht="15" x14ac:dyDescent="0.35">
      <c r="A3" s="2" t="s">
        <v>66</v>
      </c>
      <c r="B3" s="7" t="s">
        <v>67</v>
      </c>
      <c r="C3" s="2" t="s">
        <v>12</v>
      </c>
      <c r="D3" s="2" t="s">
        <v>14</v>
      </c>
      <c r="E3" s="2" t="s">
        <v>68</v>
      </c>
      <c r="F3" s="2" t="s">
        <v>69</v>
      </c>
      <c r="G3" s="10">
        <v>1</v>
      </c>
      <c r="H3" s="13">
        <v>950</v>
      </c>
      <c r="I3" s="13">
        <f t="shared" si="0"/>
        <v>950</v>
      </c>
      <c r="J3" s="16">
        <v>0.21</v>
      </c>
      <c r="K3" s="13">
        <f t="shared" si="1"/>
        <v>199.5</v>
      </c>
      <c r="L3" s="13">
        <f t="shared" si="2"/>
        <v>1149.5</v>
      </c>
      <c r="M3" s="2" t="s">
        <v>65</v>
      </c>
    </row>
    <row r="4" spans="1:13" ht="15" x14ac:dyDescent="0.35">
      <c r="A4" s="2" t="s">
        <v>70</v>
      </c>
      <c r="B4" s="7">
        <v>46144</v>
      </c>
      <c r="C4" s="2" t="s">
        <v>18</v>
      </c>
      <c r="D4" s="2" t="s">
        <v>20</v>
      </c>
      <c r="E4" s="2" t="s">
        <v>71</v>
      </c>
      <c r="F4" s="2" t="s">
        <v>72</v>
      </c>
      <c r="G4" s="10">
        <v>3</v>
      </c>
      <c r="H4" s="13">
        <v>380</v>
      </c>
      <c r="I4" s="13">
        <f t="shared" si="0"/>
        <v>1140</v>
      </c>
      <c r="J4" s="16">
        <v>0.21</v>
      </c>
      <c r="K4" s="13">
        <f t="shared" si="1"/>
        <v>239.39999999999998</v>
      </c>
      <c r="L4" s="13">
        <f t="shared" si="2"/>
        <v>1379.4</v>
      </c>
      <c r="M4" s="2" t="s">
        <v>73</v>
      </c>
    </row>
    <row r="5" spans="1:13" ht="15" x14ac:dyDescent="0.35">
      <c r="A5" s="2" t="s">
        <v>74</v>
      </c>
      <c r="B5" s="7" t="s">
        <v>75</v>
      </c>
      <c r="C5" s="2" t="s">
        <v>7</v>
      </c>
      <c r="D5" s="2" t="s">
        <v>9</v>
      </c>
      <c r="E5" s="2" t="s">
        <v>76</v>
      </c>
      <c r="F5" s="2" t="s">
        <v>77</v>
      </c>
      <c r="G5" s="10">
        <v>1</v>
      </c>
      <c r="H5" s="13">
        <v>600</v>
      </c>
      <c r="I5" s="13">
        <f t="shared" si="0"/>
        <v>600</v>
      </c>
      <c r="J5" s="16">
        <v>0.21</v>
      </c>
      <c r="K5" s="13">
        <f t="shared" si="1"/>
        <v>126</v>
      </c>
      <c r="L5" s="13">
        <f t="shared" si="2"/>
        <v>726</v>
      </c>
      <c r="M5" s="2" t="s">
        <v>65</v>
      </c>
    </row>
    <row r="6" spans="1:13" ht="15" x14ac:dyDescent="0.35">
      <c r="A6" s="2" t="s">
        <v>78</v>
      </c>
      <c r="B6" s="7" t="s">
        <v>79</v>
      </c>
      <c r="C6" s="2" t="s">
        <v>23</v>
      </c>
      <c r="D6" s="2" t="s">
        <v>25</v>
      </c>
      <c r="E6" s="2" t="s">
        <v>80</v>
      </c>
      <c r="F6" s="2" t="s">
        <v>64</v>
      </c>
      <c r="G6" s="10">
        <v>2</v>
      </c>
      <c r="H6" s="13">
        <v>890</v>
      </c>
      <c r="I6" s="13">
        <f t="shared" si="0"/>
        <v>1780</v>
      </c>
      <c r="J6" s="16">
        <v>0.21</v>
      </c>
      <c r="K6" s="13">
        <f t="shared" si="1"/>
        <v>373.8</v>
      </c>
      <c r="L6" s="13">
        <f t="shared" si="2"/>
        <v>2153.8000000000002</v>
      </c>
      <c r="M6" s="2" t="s">
        <v>65</v>
      </c>
    </row>
    <row r="7" spans="1:13" ht="15" x14ac:dyDescent="0.35">
      <c r="A7" s="2" t="s">
        <v>81</v>
      </c>
      <c r="B7" s="7" t="s">
        <v>39</v>
      </c>
      <c r="C7" s="2" t="s">
        <v>28</v>
      </c>
      <c r="D7" s="2" t="s">
        <v>30</v>
      </c>
      <c r="E7" s="2" t="s">
        <v>82</v>
      </c>
      <c r="F7" s="2" t="s">
        <v>69</v>
      </c>
      <c r="G7" s="10">
        <v>1</v>
      </c>
      <c r="H7" s="13">
        <v>1850</v>
      </c>
      <c r="I7" s="13">
        <f t="shared" si="0"/>
        <v>1850</v>
      </c>
      <c r="J7" s="16">
        <v>0.21</v>
      </c>
      <c r="K7" s="13">
        <f t="shared" si="1"/>
        <v>388.5</v>
      </c>
      <c r="L7" s="13">
        <f t="shared" si="2"/>
        <v>2238.5</v>
      </c>
      <c r="M7" s="2" t="s">
        <v>65</v>
      </c>
    </row>
    <row r="8" spans="1:13" ht="15" x14ac:dyDescent="0.35">
      <c r="A8" s="2" t="s">
        <v>83</v>
      </c>
      <c r="B8" s="7">
        <v>46056</v>
      </c>
      <c r="C8" s="2" t="s">
        <v>34</v>
      </c>
      <c r="D8" s="2" t="s">
        <v>36</v>
      </c>
      <c r="E8" s="2" t="s">
        <v>84</v>
      </c>
      <c r="F8" s="2" t="s">
        <v>72</v>
      </c>
      <c r="G8" s="10">
        <v>50</v>
      </c>
      <c r="H8" s="13">
        <v>45</v>
      </c>
      <c r="I8" s="13">
        <f t="shared" si="0"/>
        <v>2250</v>
      </c>
      <c r="J8" s="16">
        <v>0.21</v>
      </c>
      <c r="K8" s="13">
        <f t="shared" si="1"/>
        <v>472.5</v>
      </c>
      <c r="L8" s="13">
        <f t="shared" si="2"/>
        <v>2722.5</v>
      </c>
      <c r="M8" s="2" t="s">
        <v>73</v>
      </c>
    </row>
    <row r="9" spans="1:13" ht="15" x14ac:dyDescent="0.35">
      <c r="A9" s="2" t="s">
        <v>85</v>
      </c>
      <c r="B9" s="7">
        <v>46145</v>
      </c>
      <c r="C9" s="2" t="s">
        <v>40</v>
      </c>
      <c r="D9" s="2" t="s">
        <v>42</v>
      </c>
      <c r="E9" s="2" t="s">
        <v>86</v>
      </c>
      <c r="F9" s="2" t="s">
        <v>64</v>
      </c>
      <c r="G9" s="10">
        <v>4</v>
      </c>
      <c r="H9" s="13">
        <v>340</v>
      </c>
      <c r="I9" s="13">
        <f t="shared" si="0"/>
        <v>1360</v>
      </c>
      <c r="J9" s="16">
        <v>0.21</v>
      </c>
      <c r="K9" s="13">
        <f t="shared" si="1"/>
        <v>285.59999999999997</v>
      </c>
      <c r="L9" s="13">
        <f t="shared" si="2"/>
        <v>1645.6</v>
      </c>
      <c r="M9" s="2" t="s">
        <v>73</v>
      </c>
    </row>
    <row r="10" spans="1:13" ht="15" x14ac:dyDescent="0.35">
      <c r="A10" s="2" t="s">
        <v>87</v>
      </c>
      <c r="B10" s="7">
        <v>46237</v>
      </c>
      <c r="C10" s="2" t="s">
        <v>45</v>
      </c>
      <c r="D10" s="2" t="s">
        <v>47</v>
      </c>
      <c r="E10" s="2" t="s">
        <v>88</v>
      </c>
      <c r="F10" s="2" t="s">
        <v>69</v>
      </c>
      <c r="G10" s="10">
        <v>1</v>
      </c>
      <c r="H10" s="13">
        <v>1300</v>
      </c>
      <c r="I10" s="13">
        <f t="shared" si="0"/>
        <v>1300</v>
      </c>
      <c r="J10" s="16">
        <v>0.21</v>
      </c>
      <c r="K10" s="13">
        <f t="shared" si="1"/>
        <v>273</v>
      </c>
      <c r="L10" s="13">
        <f t="shared" si="2"/>
        <v>1573</v>
      </c>
      <c r="M10" s="2" t="s">
        <v>65</v>
      </c>
    </row>
    <row r="11" spans="1:13" ht="15" x14ac:dyDescent="0.35">
      <c r="A11" s="2" t="s">
        <v>89</v>
      </c>
      <c r="B11" s="7">
        <v>46359</v>
      </c>
      <c r="C11" s="2" t="s">
        <v>12</v>
      </c>
      <c r="D11" s="2" t="s">
        <v>14</v>
      </c>
      <c r="E11" s="2" t="s">
        <v>90</v>
      </c>
      <c r="F11" s="2" t="s">
        <v>77</v>
      </c>
      <c r="G11" s="10">
        <v>1</v>
      </c>
      <c r="H11" s="13">
        <v>750</v>
      </c>
      <c r="I11" s="13">
        <f t="shared" si="0"/>
        <v>750</v>
      </c>
      <c r="J11" s="16">
        <v>0.21</v>
      </c>
      <c r="K11" s="13">
        <f t="shared" si="1"/>
        <v>157.5</v>
      </c>
      <c r="L11" s="13">
        <f t="shared" si="2"/>
        <v>907.5</v>
      </c>
      <c r="M11" s="2" t="s">
        <v>91</v>
      </c>
    </row>
    <row r="12" spans="1:13" ht="15" x14ac:dyDescent="0.35">
      <c r="A12" s="2" t="s">
        <v>92</v>
      </c>
      <c r="B12" s="7" t="s">
        <v>93</v>
      </c>
      <c r="C12" s="2" t="s">
        <v>18</v>
      </c>
      <c r="D12" s="2" t="s">
        <v>20</v>
      </c>
      <c r="E12" s="2" t="s">
        <v>94</v>
      </c>
      <c r="F12" s="2" t="s">
        <v>64</v>
      </c>
      <c r="G12" s="10">
        <v>1</v>
      </c>
      <c r="H12" s="13">
        <v>920</v>
      </c>
      <c r="I12" s="13">
        <f t="shared" si="0"/>
        <v>920</v>
      </c>
      <c r="J12" s="16">
        <v>0.21</v>
      </c>
      <c r="K12" s="13">
        <f t="shared" si="1"/>
        <v>193.2</v>
      </c>
      <c r="L12" s="13">
        <f t="shared" si="2"/>
        <v>1113.2</v>
      </c>
      <c r="M12" s="2" t="s">
        <v>73</v>
      </c>
    </row>
    <row r="13" spans="1:13" ht="15" x14ac:dyDescent="0.35">
      <c r="A13" s="2" t="s">
        <v>95</v>
      </c>
      <c r="B13" s="7" t="s">
        <v>96</v>
      </c>
      <c r="C13" s="2" t="s">
        <v>23</v>
      </c>
      <c r="D13" s="2" t="s">
        <v>25</v>
      </c>
      <c r="E13" s="2" t="s">
        <v>97</v>
      </c>
      <c r="F13" s="2" t="s">
        <v>69</v>
      </c>
      <c r="G13" s="10">
        <v>1</v>
      </c>
      <c r="H13" s="13">
        <v>800</v>
      </c>
      <c r="I13" s="13">
        <f t="shared" si="0"/>
        <v>800</v>
      </c>
      <c r="J13" s="16">
        <v>0.21</v>
      </c>
      <c r="K13" s="13">
        <f t="shared" si="1"/>
        <v>168</v>
      </c>
      <c r="L13" s="13">
        <f t="shared" si="2"/>
        <v>968</v>
      </c>
      <c r="M13" s="2" t="s">
        <v>98</v>
      </c>
    </row>
    <row r="14" spans="1:13" ht="15" x14ac:dyDescent="0.35">
      <c r="A14" s="2" t="s">
        <v>99</v>
      </c>
      <c r="B14" s="7" t="s">
        <v>100</v>
      </c>
      <c r="C14" s="2" t="s">
        <v>28</v>
      </c>
      <c r="D14" s="2" t="s">
        <v>30</v>
      </c>
      <c r="E14" s="2" t="s">
        <v>101</v>
      </c>
      <c r="F14" s="2" t="s">
        <v>72</v>
      </c>
      <c r="G14" s="10">
        <v>2</v>
      </c>
      <c r="H14" s="13">
        <v>220</v>
      </c>
      <c r="I14" s="13">
        <f t="shared" si="0"/>
        <v>440</v>
      </c>
      <c r="J14" s="16">
        <v>0.21</v>
      </c>
      <c r="K14" s="13">
        <f t="shared" si="1"/>
        <v>92.399999999999991</v>
      </c>
      <c r="L14" s="13">
        <f t="shared" si="2"/>
        <v>532.4</v>
      </c>
      <c r="M14" s="2" t="s">
        <v>73</v>
      </c>
    </row>
    <row r="15" spans="1:13" ht="15" x14ac:dyDescent="0.35">
      <c r="A15" s="2" t="s">
        <v>102</v>
      </c>
      <c r="B15" s="7" t="s">
        <v>103</v>
      </c>
      <c r="C15" s="2" t="s">
        <v>34</v>
      </c>
      <c r="D15" s="2" t="s">
        <v>36</v>
      </c>
      <c r="E15" s="2" t="s">
        <v>104</v>
      </c>
      <c r="F15" s="2" t="s">
        <v>77</v>
      </c>
      <c r="G15" s="10">
        <v>1</v>
      </c>
      <c r="H15" s="13">
        <v>500</v>
      </c>
      <c r="I15" s="13">
        <f t="shared" si="0"/>
        <v>500</v>
      </c>
      <c r="J15" s="16">
        <v>0.21</v>
      </c>
      <c r="K15" s="13">
        <f t="shared" si="1"/>
        <v>105</v>
      </c>
      <c r="L15" s="13">
        <f t="shared" si="2"/>
        <v>605</v>
      </c>
      <c r="M15" s="2" t="s">
        <v>65</v>
      </c>
    </row>
    <row r="16" spans="1:13" ht="15" x14ac:dyDescent="0.35">
      <c r="A16" s="2" t="s">
        <v>105</v>
      </c>
      <c r="B16" s="7" t="s">
        <v>106</v>
      </c>
      <c r="C16" s="2" t="s">
        <v>40</v>
      </c>
      <c r="D16" s="2" t="s">
        <v>42</v>
      </c>
      <c r="E16" s="2" t="s">
        <v>107</v>
      </c>
      <c r="F16" s="2" t="s">
        <v>69</v>
      </c>
      <c r="G16" s="10">
        <v>1</v>
      </c>
      <c r="H16" s="13">
        <v>450</v>
      </c>
      <c r="I16" s="13">
        <f t="shared" si="0"/>
        <v>450</v>
      </c>
      <c r="J16" s="16">
        <v>0.21</v>
      </c>
      <c r="K16" s="13">
        <f t="shared" si="1"/>
        <v>94.5</v>
      </c>
      <c r="L16" s="13">
        <f t="shared" si="2"/>
        <v>544.5</v>
      </c>
      <c r="M16" s="2" t="s">
        <v>98</v>
      </c>
    </row>
    <row r="17" spans="1:13" ht="15" x14ac:dyDescent="0.35">
      <c r="A17" s="2" t="s">
        <v>108</v>
      </c>
      <c r="B17" s="7" t="s">
        <v>109</v>
      </c>
      <c r="C17" s="2" t="s">
        <v>45</v>
      </c>
      <c r="D17" s="2" t="s">
        <v>47</v>
      </c>
      <c r="E17" s="2" t="s">
        <v>110</v>
      </c>
      <c r="F17" s="2" t="s">
        <v>72</v>
      </c>
      <c r="G17" s="10">
        <v>10</v>
      </c>
      <c r="H17" s="13">
        <v>180</v>
      </c>
      <c r="I17" s="13">
        <f t="shared" si="0"/>
        <v>1800</v>
      </c>
      <c r="J17" s="16">
        <v>0.21</v>
      </c>
      <c r="K17" s="13">
        <f t="shared" si="1"/>
        <v>378</v>
      </c>
      <c r="L17" s="13">
        <f t="shared" si="2"/>
        <v>2178</v>
      </c>
      <c r="M17" s="2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F16FC-4EAD-4211-8A43-3F9F30A9F66C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2" max="2" width="13" bestFit="1" customWidth="1"/>
    <col min="3" max="3" width="14" bestFit="1" customWidth="1"/>
    <col min="4" max="4" width="16.77734375" bestFit="1" customWidth="1"/>
    <col min="6" max="6" width="13.21875" bestFit="1" customWidth="1"/>
    <col min="7" max="7" width="10.109375" bestFit="1" customWidth="1"/>
    <col min="8" max="8" width="16.77734375" bestFit="1" customWidth="1"/>
    <col min="10" max="10" width="21.44140625" bestFit="1" customWidth="1"/>
    <col min="11" max="11" width="16.77734375" bestFit="1" customWidth="1"/>
  </cols>
  <sheetData>
    <row r="2" spans="2:11" ht="15.6" x14ac:dyDescent="0.3">
      <c r="B2" s="37" t="s">
        <v>111</v>
      </c>
      <c r="C2" s="37"/>
      <c r="D2" s="37"/>
      <c r="E2" s="37"/>
      <c r="F2" s="37"/>
      <c r="G2" s="37"/>
      <c r="H2" s="37"/>
      <c r="I2" s="37"/>
      <c r="J2" s="37"/>
      <c r="K2" s="37"/>
    </row>
    <row r="4" spans="2:11" x14ac:dyDescent="0.3">
      <c r="B4" s="18" t="s">
        <v>54</v>
      </c>
      <c r="C4" s="18" t="s">
        <v>112</v>
      </c>
      <c r="D4" s="18" t="s">
        <v>113</v>
      </c>
      <c r="F4" s="18" t="s">
        <v>61</v>
      </c>
      <c r="G4" s="18" t="s">
        <v>112</v>
      </c>
      <c r="H4" s="18" t="s">
        <v>113</v>
      </c>
      <c r="J4" s="18" t="s">
        <v>53</v>
      </c>
      <c r="K4" s="18" t="s">
        <v>113</v>
      </c>
    </row>
    <row r="5" spans="2:11" x14ac:dyDescent="0.3">
      <c r="B5" t="s">
        <v>64</v>
      </c>
      <c r="C5">
        <f>COUNTIF(Ventas!F:F, B5)</f>
        <v>4</v>
      </c>
      <c r="D5" s="14">
        <f>SUMIF(Ventas!F:F, B5, Ventas!L:L)</f>
        <v>8421.6</v>
      </c>
      <c r="F5" t="s">
        <v>65</v>
      </c>
      <c r="G5">
        <f>COUNTIF(Ventas!M:M, F5)</f>
        <v>7</v>
      </c>
      <c r="H5" s="14">
        <f>SUMIF(Ventas!M:M, F5, Ventas!L:L)</f>
        <v>11954.8</v>
      </c>
      <c r="J5" t="s">
        <v>114</v>
      </c>
      <c r="K5" s="14">
        <v>3509</v>
      </c>
    </row>
    <row r="6" spans="2:11" x14ac:dyDescent="0.3">
      <c r="B6" t="s">
        <v>69</v>
      </c>
      <c r="C6">
        <f>COUNTIF(Ventas!F:F, B6)</f>
        <v>5</v>
      </c>
      <c r="D6" s="14">
        <f>SUMIF(Ventas!F:F, B6, Ventas!L:L)</f>
        <v>6473.5</v>
      </c>
      <c r="F6" t="s">
        <v>73</v>
      </c>
      <c r="G6">
        <f>COUNTIF(Ventas!M:M, F6)</f>
        <v>6</v>
      </c>
      <c r="H6" s="14">
        <f>SUMIF(Ventas!M:M, F6, Ventas!L:L)</f>
        <v>9571.0999999999985</v>
      </c>
      <c r="J6" t="s">
        <v>115</v>
      </c>
      <c r="K6" s="14">
        <v>2722.5</v>
      </c>
    </row>
    <row r="7" spans="2:11" x14ac:dyDescent="0.3">
      <c r="B7" t="s">
        <v>72</v>
      </c>
      <c r="C7">
        <f>COUNTIF(Ventas!F:F, B7)</f>
        <v>4</v>
      </c>
      <c r="D7" s="14">
        <f>SUMIF(Ventas!F:F, B7, Ventas!L:L)</f>
        <v>6812.2999999999993</v>
      </c>
      <c r="F7" t="s">
        <v>91</v>
      </c>
      <c r="G7">
        <f>COUNTIF(Ventas!M:M, F7)</f>
        <v>1</v>
      </c>
      <c r="H7" s="14">
        <f>SUMIF(Ventas!M:M, F7, Ventas!L:L)</f>
        <v>907.5</v>
      </c>
      <c r="J7" t="s">
        <v>116</v>
      </c>
      <c r="K7" s="14">
        <v>2238.5</v>
      </c>
    </row>
    <row r="8" spans="2:11" x14ac:dyDescent="0.3">
      <c r="B8" t="s">
        <v>77</v>
      </c>
      <c r="C8">
        <f>COUNTIF(Ventas!F:F, B8)</f>
        <v>3</v>
      </c>
      <c r="D8" s="14">
        <f>SUMIF(Ventas!F:F, B8, Ventas!L:L)</f>
        <v>2238.5</v>
      </c>
      <c r="F8" t="s">
        <v>98</v>
      </c>
      <c r="G8">
        <f>COUNTIF(Ventas!M:M, F8)</f>
        <v>2</v>
      </c>
      <c r="H8" s="14">
        <f>SUMIF(Ventas!M:M, F8, Ventas!L:L)</f>
        <v>1512.5</v>
      </c>
      <c r="J8" t="s">
        <v>117</v>
      </c>
      <c r="K8" s="14">
        <v>2153.8000000000002</v>
      </c>
    </row>
    <row r="9" spans="2:11" x14ac:dyDescent="0.3">
      <c r="J9" t="s">
        <v>118</v>
      </c>
      <c r="K9" s="14">
        <v>2178</v>
      </c>
    </row>
    <row r="12" spans="2:11" x14ac:dyDescent="0.3">
      <c r="B12" s="18" t="s">
        <v>119</v>
      </c>
      <c r="C12" s="18" t="s">
        <v>120</v>
      </c>
      <c r="D12" s="18" t="s">
        <v>121</v>
      </c>
      <c r="F12" t="s">
        <v>127</v>
      </c>
      <c r="G12" t="s">
        <v>128</v>
      </c>
    </row>
    <row r="13" spans="2:11" x14ac:dyDescent="0.3">
      <c r="B13" t="s">
        <v>122</v>
      </c>
      <c r="C13">
        <v>130</v>
      </c>
      <c r="D13">
        <v>212</v>
      </c>
      <c r="F13" t="s">
        <v>129</v>
      </c>
      <c r="G13">
        <f>SUM(Ventas!I:I)</f>
        <v>19790</v>
      </c>
    </row>
    <row r="14" spans="2:11" x14ac:dyDescent="0.3">
      <c r="B14" t="s">
        <v>123</v>
      </c>
      <c r="C14">
        <v>311</v>
      </c>
      <c r="D14">
        <v>552</v>
      </c>
      <c r="F14" t="s">
        <v>130</v>
      </c>
      <c r="G14">
        <f>SUM(Ventas!K:K)</f>
        <v>4155.8999999999996</v>
      </c>
    </row>
    <row r="15" spans="2:11" x14ac:dyDescent="0.3">
      <c r="B15" t="s">
        <v>124</v>
      </c>
      <c r="C15">
        <v>344</v>
      </c>
      <c r="D15">
        <v>578</v>
      </c>
    </row>
    <row r="16" spans="2:11" x14ac:dyDescent="0.3">
      <c r="B16" t="s">
        <v>125</v>
      </c>
      <c r="C16">
        <v>367</v>
      </c>
      <c r="D16">
        <v>572</v>
      </c>
    </row>
    <row r="17" spans="2:4" x14ac:dyDescent="0.3">
      <c r="B17" t="s">
        <v>126</v>
      </c>
      <c r="C17">
        <v>135</v>
      </c>
      <c r="D17">
        <v>283</v>
      </c>
    </row>
  </sheetData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2026-09-13T15:08:24Z</dcterms:created>
  <dcterms:modified xsi:type="dcterms:W3CDTF">2026-09-13T15:27:05Z</dcterms:modified>
</cp:coreProperties>
</file>